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ntory_Backup" sheetId="1" r:id="rId1"/>
    <sheet name="Transaction_History" sheetId="2" r:id="rId2"/>
    <sheet name="Pallet_Capaciti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58"/>
  <sheetViews>
    <sheetView workbookViewId="0"/>
  </sheetViews>
  <sheetData>
    <row r="1">
      <c r="A1" t="str">
        <v>MATERIAL_CODE</v>
      </c>
      <c r="B1" t="str">
        <v>STOCKING_QTY</v>
      </c>
      <c r="C1" t="str">
        <v>TOTAL_WITH_FORMULA</v>
      </c>
      <c r="D1" t="str">
        <v>REMARKS_JSON</v>
      </c>
    </row>
    <row r="2">
      <c r="A2" t="str">
        <v>PLASTICS</v>
      </c>
      <c r="B2" t="str">
        <v/>
      </c>
      <c r="C2">
        <v>0</v>
      </c>
      <c r="D2" t="str">
        <v>[]</v>
      </c>
    </row>
    <row r="3">
      <c r="A3" t="str">
        <v>BAG-A19.5X35PE</v>
      </c>
      <c r="B3" t="str">
        <v>6×24000 | 21600 | 17×24000 | 9000</v>
      </c>
      <c r="C3">
        <f>6*24000 + 21600 + 17*24000 + 9000</f>
      </c>
      <c r="D3" t="str">
        <v>["OLD 12-04-2025","OLD 12-04-2025","APPROVED 12-04-2025","APPROVED ugt 02-19-2026"]</v>
      </c>
    </row>
    <row r="4">
      <c r="A4" t="str">
        <v>BAG-A19.50X40.50</v>
      </c>
      <c r="B4" t="str">
        <v>7×24000</v>
      </c>
      <c r="C4">
        <f>7*24000</f>
      </c>
      <c r="D4" t="str">
        <v>[""]</v>
      </c>
    </row>
    <row r="5">
      <c r="A5" t="str">
        <v>BAG-A20.5X45PE</v>
      </c>
      <c r="B5" t="str">
        <v>2×24000 l 21000 | 5×24000 | 2100</v>
      </c>
      <c r="C5">
        <f>2*24000+21000 + 5*24000 + 2100</f>
      </c>
      <c r="D5" t="str">
        <v>["approved ugt 02-03-2026","approved ugt 02-03-2026","OLD cpcc 01-17-2026","OLD cpcc 01-17-2026"]</v>
      </c>
    </row>
    <row r="6">
      <c r="A6" t="str">
        <v>BAG-A21X26PE</v>
      </c>
      <c r="B6" t="str">
        <v/>
      </c>
      <c r="C6">
        <v>0</v>
      </c>
      <c r="D6" t="str">
        <v>[]</v>
      </c>
    </row>
    <row r="7">
      <c r="A7" t="str">
        <v>BAG-A21X41PE</v>
      </c>
      <c r="B7" t="str">
        <v>9×24000 l 300</v>
      </c>
      <c r="C7">
        <f>9*24000+300</f>
      </c>
      <c r="D7" t="str">
        <v>["",""]</v>
      </c>
    </row>
    <row r="8">
      <c r="A8" t="str">
        <v>BAG-A22.50X39PE</v>
      </c>
      <c r="B8" t="str">
        <v>5×24000</v>
      </c>
      <c r="C8">
        <f>5*24000</f>
      </c>
      <c r="D8" t="str">
        <v>["first out 08-08-2025"]</v>
      </c>
    </row>
    <row r="9">
      <c r="A9" t="str">
        <v>BAG-A22X26PE</v>
      </c>
      <c r="B9" t="str">
        <v>24000 | 6200</v>
      </c>
      <c r="C9">
        <f>24000 + 6200</f>
      </c>
      <c r="D9" t="str">
        <v>["OLD ugt 12-18-2025","OLD ugt 12-18-2025"]</v>
      </c>
    </row>
    <row r="10">
      <c r="A10" t="str">
        <v>BAG-A22X29PE</v>
      </c>
      <c r="B10" t="str">
        <v/>
      </c>
      <c r="C10">
        <v>0</v>
      </c>
      <c r="D10" t="str">
        <v>[]</v>
      </c>
    </row>
    <row r="11">
      <c r="A11" t="str">
        <v>BAG-B21.50X29PE</v>
      </c>
      <c r="B11" t="str">
        <v>45×24000 | 14400 | 20700 | 3000</v>
      </c>
      <c r="C11">
        <f>45*24000 + 14400 + 20700 + 3000</f>
      </c>
      <c r="D11" t="str">
        <v>["OLD cpcc 02-13-2026","OLD cpcc 02-13-2026","OLD cpcc 02-13-2026","OLD cpcc 02-13-2026"]</v>
      </c>
    </row>
    <row r="12">
      <c r="A12" t="str">
        <v>BAG-A22X30PE</v>
      </c>
      <c r="B12" t="str">
        <v>24000 | 2700 | 1×24000 | 5100</v>
      </c>
      <c r="C12">
        <f>24000 + 2700 + 1*24000 + 5100</f>
      </c>
      <c r="D12" t="str">
        <v>["OLD cpcc 02-10-2026","approved cpcc 02-10-2026","approved cpcc 02-17-2026","approved cpcc 02-17-2026"]</v>
      </c>
    </row>
    <row r="13">
      <c r="A13" t="str">
        <v>BAG-A22X30PEW/FLAP</v>
      </c>
      <c r="B13" t="str">
        <v>3×24000 | 12600 | 9600 | 4×24000 | 16800 | 5700 | 1×24000 | 15000</v>
      </c>
      <c r="C13">
        <f>3*24000 + 12600 + 9600 + 4*24000 + 16800 + 5700 + 1*24000 + 15000</f>
      </c>
      <c r="D13" t="str">
        <v>["OLD jbc 01-26-2026","OLD jbc 01-26-2026","approved 02-09-2026","approved jbc 02-17-2026","approved jbc 02-17-2026","approved jbc 02-20-2026","approved jbc 02-23-2026","approved jbc 02-23-2026"]</v>
      </c>
    </row>
    <row r="14">
      <c r="A14" t="str">
        <v>BAG-A22X45PE</v>
      </c>
      <c r="B14" t="str">
        <v/>
      </c>
      <c r="C14">
        <v>0</v>
      </c>
      <c r="D14" t="str">
        <v>[]</v>
      </c>
    </row>
    <row r="15">
      <c r="A15" t="str">
        <v>BAG-B23X31.5W/FLAP</v>
      </c>
      <c r="B15" t="str">
        <v/>
      </c>
      <c r="C15">
        <v>0</v>
      </c>
      <c r="D15" t="str">
        <v>[]</v>
      </c>
    </row>
    <row r="16">
      <c r="A16" t="str">
        <v>BAG-B23X31W/HOLE</v>
      </c>
      <c r="B16" t="str">
        <v/>
      </c>
      <c r="C16">
        <v>0</v>
      </c>
      <c r="D16" t="str">
        <v>[]</v>
      </c>
    </row>
    <row r="17">
      <c r="A17" t="str">
        <v>BAG-B23X29.53W/HO</v>
      </c>
      <c r="B17" t="str">
        <v>12×24000 | 15900 | 22500 | 4×24000 | 11700 | 26700</v>
      </c>
      <c r="C17">
        <f>12*24000 + 15900 + 22500 + 4*24000 + 11700 + 26700</f>
      </c>
      <c r="D17" t="str">
        <v>["OLD jbc 02-14-2026","OLD jbc 02-14-2026","approved jbc 02-21-2026","approved jbc 02-23-2026","approved jbc 02-24-2026","approved jbc 02-24-2026"]</v>
      </c>
    </row>
    <row r="18">
      <c r="A18" t="str">
        <v>BAG-B23X30.32W/HO</v>
      </c>
      <c r="B18" t="str">
        <v/>
      </c>
      <c r="C18">
        <v>0</v>
      </c>
      <c r="D18" t="str">
        <v>[]</v>
      </c>
    </row>
    <row r="19">
      <c r="A19" t="str">
        <v>BAG-A23X42PE-G</v>
      </c>
      <c r="B19" t="str">
        <v>10×19200 | 2400</v>
      </c>
      <c r="C19">
        <f>10*19200 + 2400</f>
      </c>
      <c r="D19" t="str">
        <v>["OLD","OLD"]</v>
      </c>
    </row>
    <row r="20">
      <c r="A20" t="str">
        <v>BAG-A25X32PE</v>
      </c>
      <c r="B20" t="str">
        <v/>
      </c>
      <c r="C20">
        <v>0</v>
      </c>
      <c r="D20" t="str">
        <v>[]</v>
      </c>
    </row>
    <row r="21">
      <c r="A21" t="str">
        <v>BAG-A25X38PE</v>
      </c>
      <c r="B21" t="str">
        <v/>
      </c>
      <c r="C21">
        <v>0</v>
      </c>
      <c r="D21" t="str">
        <v>[]</v>
      </c>
    </row>
    <row r="22">
      <c r="A22" t="str">
        <v>BAG-A26X30HD</v>
      </c>
      <c r="B22" t="str">
        <v>24000 | 19581</v>
      </c>
      <c r="C22">
        <f>24000 + 19581</f>
      </c>
      <c r="D22" t="str">
        <v>["OLD","OLD"]</v>
      </c>
    </row>
    <row r="23">
      <c r="A23" t="str">
        <v>BAG-A26X32.50PE</v>
      </c>
      <c r="B23" t="str">
        <v>9×24000 | 7600 | 8×24000 | 12000</v>
      </c>
      <c r="C23">
        <f>9*24000 + 7600 + 8*24000 + 12000</f>
      </c>
      <c r="D23" t="str">
        <v>["first out","first out","approved 02-03-2026","approved 02-03-2026"]</v>
      </c>
    </row>
    <row r="24">
      <c r="A24" t="str">
        <v>BAG-A26X33.50L</v>
      </c>
      <c r="B24" t="str">
        <v/>
      </c>
      <c r="C24">
        <v>0</v>
      </c>
      <c r="D24" t="str">
        <v>[]</v>
      </c>
    </row>
    <row r="25">
      <c r="A25" t="str">
        <v>BAG-A25.5X32PE</v>
      </c>
      <c r="B25" t="str">
        <v xml:space="preserve">11×24000 | 22200 | 12×24000 | 2×24000 | 14100 </v>
      </c>
      <c r="C25">
        <f>11*24000 + 22200 + 12*24000 + 2*24000 + 14100</f>
      </c>
      <c r="D25" t="str">
        <v>["OLD ugt 02-06-2026","OLD ugt 02-06-2026","approved cpcc 02-17-2026","approved cpcc 02-17-2026","approved cpcc 02-17-2026"]</v>
      </c>
    </row>
    <row r="26">
      <c r="A26" t="str">
        <v>BAG-A26X45HD</v>
      </c>
      <c r="B26" t="str">
        <v>5×19200 | 19800</v>
      </c>
      <c r="C26">
        <f>5*19200 + 19800</f>
      </c>
      <c r="D26" t="str">
        <v>["OLD jbc 02-18-2026","OLD jbc 02-18-2026"]</v>
      </c>
    </row>
    <row r="27">
      <c r="A27" t="str">
        <v>BAG-A26X45.50PE</v>
      </c>
      <c r="B27" t="str">
        <v/>
      </c>
      <c r="C27">
        <v>0</v>
      </c>
      <c r="D27" t="str">
        <v>[]</v>
      </c>
    </row>
    <row r="28">
      <c r="A28" t="str">
        <v>BAG-A26.5X37.5PE</v>
      </c>
      <c r="B28" t="str">
        <v>11×24000 | 300 | 8×24000 | 20600</v>
      </c>
      <c r="C28">
        <f>11*24000 + 300 + 8*24000 + 20600</f>
      </c>
      <c r="D28" t="str">
        <v>["OLD","OLD","APPROVED ugt 02-10-2026","approved ugt 02-19-2026"]</v>
      </c>
    </row>
    <row r="29">
      <c r="A29" t="str">
        <v>BAG-A27X37.50PE</v>
      </c>
      <c r="B29" t="str">
        <v>12×24000</v>
      </c>
      <c r="C29">
        <f>12*24000</f>
      </c>
      <c r="D29" t="str">
        <v>["first out"]</v>
      </c>
    </row>
    <row r="30">
      <c r="A30" t="str">
        <v>BAG-A27X42PE</v>
      </c>
      <c r="B30" t="str">
        <v>8000| 3×18000 | 16200 | 2×18000 | 16200</v>
      </c>
      <c r="C30">
        <f>8000+ 3*18000 + 16200 + 2*18000 + 16200</f>
      </c>
      <c r="D30" t="str">
        <v>["OLD CPCC 01-27-2026","OLD CPCC 01-27-2026","OLD CPCC 01-27-2026","approved cpcc 02-17-2026","approved cpcc 02-17-2026"]</v>
      </c>
    </row>
    <row r="31">
      <c r="A31" t="str">
        <v>BAG-B10.50X12PP</v>
      </c>
      <c r="B31" t="str">
        <v>3×160000 | 76000 | 4×160000 | 78000</v>
      </c>
      <c r="C31">
        <f>3*160000 + 76000 + 4*160000 + 78000</f>
      </c>
      <c r="D31" t="str">
        <v>["first out","first out","approved cpcc 02-05-2026","approved cpcc 02-05-2026"]</v>
      </c>
    </row>
    <row r="32">
      <c r="A32" t="str">
        <v>BAG-B11.50X16</v>
      </c>
      <c r="B32" t="str">
        <v>2×120000 | 57000</v>
      </c>
      <c r="C32">
        <f>2*120000 + 57000</f>
      </c>
      <c r="D32" t="str">
        <v>["approved cpcc 02-05-2026","approved cpcc 02-05-2026"]</v>
      </c>
    </row>
    <row r="33">
      <c r="A33" t="str">
        <v>BAG-B11.75X9PP</v>
      </c>
      <c r="B33" t="str">
        <v>3×80000</v>
      </c>
      <c r="C33">
        <f>3*80000</f>
      </c>
      <c r="D33" t="str">
        <v>["first out"]</v>
      </c>
    </row>
    <row r="34">
      <c r="A34" t="str">
        <v>BAG-B12X23PE</v>
      </c>
      <c r="B34" t="str">
        <v/>
      </c>
      <c r="C34">
        <v>0</v>
      </c>
      <c r="D34" t="str">
        <v>[]</v>
      </c>
    </row>
    <row r="35">
      <c r="A35" t="str">
        <v>BAG-B12.50X14PP</v>
      </c>
      <c r="B35" t="str">
        <v>102000</v>
      </c>
      <c r="C35">
        <f>102000</f>
      </c>
      <c r="D35" t="str">
        <v>["approved cpcc 01-20-2026"]</v>
      </c>
    </row>
    <row r="36">
      <c r="A36" t="str">
        <v>BAG-B12.5X20PP</v>
      </c>
      <c r="B36" t="str">
        <v/>
      </c>
      <c r="C36">
        <v>0</v>
      </c>
      <c r="D36" t="str">
        <v>[]</v>
      </c>
    </row>
    <row r="37">
      <c r="A37" t="str">
        <v>BAG-B13.50X19</v>
      </c>
      <c r="B37" t="str">
        <v/>
      </c>
      <c r="C37">
        <v>0</v>
      </c>
      <c r="D37" t="str">
        <v>[]</v>
      </c>
    </row>
    <row r="38">
      <c r="A38" t="str">
        <v>BAG-B13X10.50PP</v>
      </c>
      <c r="B38" t="str">
        <v>160000 l 49000</v>
      </c>
      <c r="C38">
        <f>160000+49000</f>
      </c>
      <c r="D38" t="str">
        <v>["approved cpcc 01-20-2026","approved"]</v>
      </c>
    </row>
    <row r="39">
      <c r="A39" t="str">
        <v>BAG-B14.50X21.25PE</v>
      </c>
      <c r="B39" t="str">
        <v/>
      </c>
      <c r="C39">
        <v>0</v>
      </c>
      <c r="D39" t="str">
        <v>[]</v>
      </c>
    </row>
    <row r="40">
      <c r="A40" t="str">
        <v>BAG-B14.50X33PE</v>
      </c>
      <c r="B40" t="str">
        <v/>
      </c>
      <c r="C40">
        <v>0</v>
      </c>
      <c r="D40" t="str">
        <v>[]</v>
      </c>
    </row>
    <row r="41">
      <c r="A41" t="str">
        <v>BAG-B15.25X27PE</v>
      </c>
      <c r="B41" t="str">
        <v>28500</v>
      </c>
      <c r="C41">
        <f>28500</f>
      </c>
      <c r="D41" t="str">
        <v>["first out"]</v>
      </c>
    </row>
    <row r="42">
      <c r="A42" t="str">
        <v>BAG-B15.50X23PE</v>
      </c>
      <c r="B42" t="str">
        <v>2×36000</v>
      </c>
      <c r="C42">
        <f>2*36000</f>
      </c>
      <c r="D42" t="str">
        <v>["OLD 12-03-2025"]</v>
      </c>
    </row>
    <row r="43">
      <c r="A43" t="str">
        <v>BAG-B15.50X42PE</v>
      </c>
      <c r="B43" t="str">
        <v>36000 | 35100 | 9×27000 l 24000</v>
      </c>
      <c r="C43">
        <f>36000 + 35100 + 9*27000+24000</f>
      </c>
      <c r="D43" t="str">
        <v>["OLD cpcc 01-22-2026","OLD cpcc 01-22-2026","approved  01-22-2026","approved  01-22-2026"]</v>
      </c>
    </row>
    <row r="44">
      <c r="A44" t="str">
        <v>BAG-B17.5X34PE</v>
      </c>
      <c r="B44" t="str">
        <v>8×24000 | 4×24000 | 14400 | 17100</v>
      </c>
      <c r="C44">
        <f>8*24000 + 4*24000 + 14400 + 17100</f>
      </c>
      <c r="D44" t="str">
        <v>["approved","OLD cpcc 01-31-2026","OLD cpcc 01-31-2026","approved cpcc 02-05-2026"]</v>
      </c>
    </row>
    <row r="45">
      <c r="A45" t="str">
        <v>BAG-B17.5X39PE</v>
      </c>
      <c r="B45" t="str">
        <v>12000 | 4×24000 | 8700</v>
      </c>
      <c r="C45">
        <f>12000 + 4*24000 + 8700</f>
      </c>
      <c r="D45" t="str">
        <v>["first out","approved 01-12-2026","approved 01-12-2026"]</v>
      </c>
    </row>
    <row r="46">
      <c r="A46" t="str">
        <v>BAG-B17.5X40PE</v>
      </c>
      <c r="B46" t="str">
        <v>24000 | 4800</v>
      </c>
      <c r="C46">
        <f>24000 + 4800</f>
      </c>
      <c r="D46" t="str">
        <v>["first out ugt 08-20-2025","first out ugt 08-20-2025"]</v>
      </c>
    </row>
    <row r="47">
      <c r="A47" t="str">
        <v>BAG-B18X27MLRLPE</v>
      </c>
      <c r="B47" t="str">
        <v xml:space="preserve">21000 | 27900 | 2×36000 </v>
      </c>
      <c r="C47">
        <f>21000 + 27900 + 2*36000</f>
      </c>
      <c r="D47" t="str">
        <v>["first out","first out","approved cpcc 01-31-2026"]</v>
      </c>
    </row>
    <row r="48">
      <c r="A48" t="str">
        <v>BAG-B18X30BPE</v>
      </c>
      <c r="B48" t="str">
        <v>11×36000 | 27000 | 7×36000</v>
      </c>
      <c r="C48">
        <f>11*36000 + 27000 + 7*36000</f>
      </c>
      <c r="D48" t="str">
        <v>["OLD ugt 01-16-2026","approved","APPROVED"]</v>
      </c>
    </row>
    <row r="49">
      <c r="A49" t="str">
        <v>BAG-B20.5X35PE</v>
      </c>
      <c r="B49" t="str">
        <v/>
      </c>
      <c r="C49">
        <v>0</v>
      </c>
      <c r="D49" t="str">
        <v>[]</v>
      </c>
    </row>
    <row r="50">
      <c r="A50" t="str">
        <v>BAG-B20.87X31.89FH</v>
      </c>
      <c r="B50" t="str">
        <v>7×24000 | 26400 | 24000 | 9000 | 15900 | 19500 | 4500</v>
      </c>
      <c r="C50">
        <f>7*24000 + 26400 + 24000 + 9000 + 15900 + 19500 + 4500</f>
      </c>
      <c r="D50" t="str">
        <v>["OLD jbc 01-21-2026","approved jbc 01-26-2026","approved jbc 01-26-2026","approved","OLD jbc 01-21-2026","approved jbc 02-20-2026","approved jbc 02-21-2026"]</v>
      </c>
    </row>
    <row r="51">
      <c r="A51" t="str">
        <v>BAG-B20.87X31.89H</v>
      </c>
      <c r="B51" t="str">
        <v/>
      </c>
      <c r="C51">
        <v>0</v>
      </c>
      <c r="D51" t="str">
        <v>[]</v>
      </c>
    </row>
    <row r="52">
      <c r="A52" t="str">
        <v>BAG-B21X21PE</v>
      </c>
      <c r="B52" t="str">
        <v>33900</v>
      </c>
      <c r="C52">
        <f>33900</f>
      </c>
      <c r="D52" t="str">
        <v>["first out"]</v>
      </c>
    </row>
    <row r="53">
      <c r="A53" t="str">
        <v>BAG-B22.50X34PE</v>
      </c>
      <c r="B53" t="str">
        <v>5×24000 | 11×24000 | 19500</v>
      </c>
      <c r="C53">
        <f>5*24000 + 11*24000 + 19500</f>
      </c>
      <c r="D53" t="str">
        <v>["first out","approved ugt 02-03-2026","approved ugt 02-03-2026"]</v>
      </c>
    </row>
    <row r="54">
      <c r="A54" t="str">
        <v>BAG-B22.50X37PE</v>
      </c>
      <c r="B54" t="str">
        <v>5×24000 | 12000 | 21000</v>
      </c>
      <c r="C54">
        <f>5*24000 + 12000 + 21000</f>
      </c>
      <c r="D54" t="str">
        <v>["first out b2","first out b2","approved ugt 02-13-2026"]</v>
      </c>
    </row>
    <row r="55">
      <c r="A55" t="str">
        <v>BAG-B4X5PP</v>
      </c>
      <c r="B55" t="str">
        <v/>
      </c>
      <c r="C55">
        <v>0</v>
      </c>
      <c r="D55" t="str">
        <v>[]</v>
      </c>
    </row>
    <row r="56">
      <c r="A56" t="str">
        <v>BAG-B5.75X12</v>
      </c>
      <c r="B56" t="str">
        <v/>
      </c>
      <c r="C56">
        <v>0</v>
      </c>
      <c r="D56" t="str">
        <v>[]</v>
      </c>
    </row>
    <row r="57">
      <c r="A57" t="str">
        <v>BAG-B5.75X12-BRCD</v>
      </c>
      <c r="B57" t="str">
        <v/>
      </c>
      <c r="C57">
        <v>0</v>
      </c>
      <c r="D57" t="str">
        <v>[]</v>
      </c>
    </row>
    <row r="58">
      <c r="A58" t="str">
        <v>BAG-B5X8PP</v>
      </c>
      <c r="B58" t="str">
        <v/>
      </c>
      <c r="C58">
        <v>0</v>
      </c>
      <c r="D58" t="str">
        <v>[]</v>
      </c>
    </row>
    <row r="59">
      <c r="A59" t="str">
        <v>BAG-B6.25X13</v>
      </c>
      <c r="B59" t="str">
        <v/>
      </c>
      <c r="C59">
        <v>0</v>
      </c>
      <c r="D59" t="str">
        <v>[]</v>
      </c>
    </row>
    <row r="60">
      <c r="A60" t="str">
        <v>BAG-B6.25X13-BRCD</v>
      </c>
      <c r="B60" t="str">
        <v/>
      </c>
      <c r="C60">
        <v>0</v>
      </c>
      <c r="D60" t="str">
        <v>[]</v>
      </c>
    </row>
    <row r="61">
      <c r="A61" t="str">
        <v>BAG-B6X7FPP</v>
      </c>
      <c r="B61" t="str">
        <v/>
      </c>
      <c r="C61">
        <v>0</v>
      </c>
      <c r="D61" t="str">
        <v>[]</v>
      </c>
    </row>
    <row r="62">
      <c r="A62" t="str">
        <v>BAG-B6X9F</v>
      </c>
      <c r="B62" t="str">
        <v/>
      </c>
      <c r="C62">
        <v>0</v>
      </c>
      <c r="D62" t="str">
        <v>[]</v>
      </c>
    </row>
    <row r="63">
      <c r="A63" t="str">
        <v>BAG-B8X11CKP-PP</v>
      </c>
      <c r="B63" t="str">
        <v>1×105000</v>
      </c>
      <c r="C63">
        <f>1*105000</f>
      </c>
      <c r="D63" t="str">
        <v>["first out"]</v>
      </c>
    </row>
    <row r="64">
      <c r="A64" t="str">
        <v>BAG-B8X11FPP</v>
      </c>
      <c r="B64" t="str">
        <v/>
      </c>
      <c r="C64">
        <v>0</v>
      </c>
      <c r="D64" t="str">
        <v>[]</v>
      </c>
    </row>
    <row r="65">
      <c r="A65" t="str">
        <v>BAG-B8X15FPP</v>
      </c>
      <c r="B65" t="str">
        <v/>
      </c>
      <c r="C65">
        <v>0</v>
      </c>
      <c r="D65" t="str">
        <v>[]</v>
      </c>
    </row>
    <row r="66">
      <c r="A66" t="str">
        <v>BAG-B9.50X10.50PP</v>
      </c>
      <c r="B66" t="str">
        <v/>
      </c>
      <c r="C66">
        <v>0</v>
      </c>
      <c r="D66" t="str">
        <v>[]</v>
      </c>
    </row>
    <row r="67">
      <c r="A67" t="str">
        <v>BAG-B9.5X15.5-PPTAM</v>
      </c>
      <c r="B67" t="str">
        <v/>
      </c>
      <c r="C67">
        <v>0</v>
      </c>
      <c r="D67" t="str">
        <v>[]</v>
      </c>
    </row>
    <row r="68">
      <c r="A68" t="str">
        <v>BAG-B9.5X15PPTAM</v>
      </c>
      <c r="B68" t="str">
        <v/>
      </c>
      <c r="C68">
        <v>0</v>
      </c>
      <c r="D68" t="str">
        <v>[]</v>
      </c>
    </row>
    <row r="69">
      <c r="A69" t="str">
        <v>BAG-B9.5X9PP</v>
      </c>
      <c r="B69" t="str">
        <v/>
      </c>
      <c r="C69">
        <v>0</v>
      </c>
      <c r="D69" t="str">
        <v>[]</v>
      </c>
    </row>
    <row r="70">
      <c r="A70" t="str">
        <v>HI-COFF-BRCD</v>
      </c>
      <c r="B70" t="str">
        <v/>
      </c>
      <c r="C70">
        <v>0</v>
      </c>
      <c r="D70" t="str">
        <v>[]</v>
      </c>
    </row>
    <row r="71">
      <c r="A71" t="str">
        <v>BAG-B9X15.50PP</v>
      </c>
      <c r="B71" t="str">
        <v/>
      </c>
      <c r="C71">
        <v>0</v>
      </c>
      <c r="D71" t="str">
        <v>[]</v>
      </c>
    </row>
    <row r="72">
      <c r="A72" t="str">
        <v>BAG-B9X15TAI</v>
      </c>
      <c r="B72" t="str">
        <v/>
      </c>
      <c r="C72">
        <v>0</v>
      </c>
      <c r="D72" t="str">
        <v>[]</v>
      </c>
    </row>
    <row r="73">
      <c r="A73" t="str">
        <v>BAG-B-BGMXS-TAH</v>
      </c>
      <c r="B73" t="str">
        <v/>
      </c>
      <c r="C73">
        <v>0</v>
      </c>
      <c r="D73" t="str">
        <v>[]</v>
      </c>
    </row>
    <row r="74">
      <c r="A74" t="str">
        <v>BAG-B-CCMD-G-MYN</v>
      </c>
      <c r="B74" t="str">
        <v/>
      </c>
      <c r="C74">
        <v>0</v>
      </c>
      <c r="D74" t="str">
        <v>[]</v>
      </c>
    </row>
    <row r="75">
      <c r="A75" t="str">
        <v>BAG-B-CHPL-SI-HA</v>
      </c>
      <c r="B75" t="str">
        <v/>
      </c>
      <c r="C75">
        <v>0</v>
      </c>
      <c r="D75" t="str">
        <v>[]</v>
      </c>
    </row>
    <row r="76">
      <c r="A76" t="str">
        <v>BAG-B-HICO-CHOC-G</v>
      </c>
      <c r="B76" t="str">
        <v/>
      </c>
      <c r="C76">
        <v>0</v>
      </c>
      <c r="D76" t="str">
        <v>[]</v>
      </c>
    </row>
    <row r="77">
      <c r="A77" t="str">
        <v>BAG-B-HICO-DC-G</v>
      </c>
      <c r="B77" t="str">
        <v/>
      </c>
      <c r="C77">
        <v>0</v>
      </c>
      <c r="D77" t="str">
        <v>[]</v>
      </c>
    </row>
    <row r="78">
      <c r="A78" t="str">
        <v>BAG-B-HI-ORIG-G-M</v>
      </c>
      <c r="B78" t="str">
        <v/>
      </c>
      <c r="C78">
        <v>0</v>
      </c>
      <c r="D78" t="str">
        <v>[]</v>
      </c>
    </row>
    <row r="79">
      <c r="A79" t="str">
        <v>BAG-B-HICO-ORIG-G</v>
      </c>
      <c r="B79" t="str">
        <v/>
      </c>
      <c r="C79">
        <v>0</v>
      </c>
      <c r="D79" t="str">
        <v>[]</v>
      </c>
    </row>
    <row r="80">
      <c r="A80" t="str">
        <v>BAG-B-HICO-VACA-G</v>
      </c>
      <c r="B80" t="str">
        <v/>
      </c>
      <c r="C80">
        <v>0</v>
      </c>
      <c r="D80" t="str">
        <v>[]</v>
      </c>
    </row>
    <row r="81">
      <c r="A81" t="str">
        <v>BAG-B-KYFXS-TAH</v>
      </c>
      <c r="B81" t="str">
        <v/>
      </c>
      <c r="C81">
        <v>0</v>
      </c>
      <c r="D81" t="str">
        <v>[]</v>
      </c>
    </row>
    <row r="82">
      <c r="A82" t="str">
        <v>BAG-B-OORXS-TAH</v>
      </c>
      <c r="B82" t="str">
        <v/>
      </c>
      <c r="C82">
        <v>0</v>
      </c>
      <c r="D82" t="str">
        <v>[]</v>
      </c>
    </row>
    <row r="83">
      <c r="A83" t="str">
        <v>BAG-B-OPCXS-TAH</v>
      </c>
      <c r="B83" t="str">
        <v/>
      </c>
      <c r="C83">
        <v>0</v>
      </c>
      <c r="D83" t="str">
        <v>[]</v>
      </c>
    </row>
    <row r="84">
      <c r="A84" t="str">
        <v>BAG-B-PFXS-TAH</v>
      </c>
      <c r="B84" t="str">
        <v/>
      </c>
      <c r="C84">
        <v>0</v>
      </c>
      <c r="D84" t="str">
        <v>[]</v>
      </c>
    </row>
    <row r="85">
      <c r="A85" t="str">
        <v>BAG-B-GCHCXB-TAH</v>
      </c>
      <c r="B85" t="str">
        <v/>
      </c>
      <c r="C85">
        <v>0</v>
      </c>
      <c r="D85" t="str">
        <v>[]</v>
      </c>
    </row>
    <row r="86">
      <c r="A86" t="str">
        <v>BAG-KRAFT-V3P-L</v>
      </c>
      <c r="B86" t="str">
        <v/>
      </c>
      <c r="C86">
        <v>0</v>
      </c>
      <c r="D86" t="str">
        <v>[]</v>
      </c>
    </row>
    <row r="87">
      <c r="A87" t="str">
        <v>BUNDLES-35X45</v>
      </c>
      <c r="B87" t="str">
        <v/>
      </c>
      <c r="C87">
        <v>0</v>
      </c>
      <c r="D87" t="str">
        <v>[]</v>
      </c>
    </row>
    <row r="88">
      <c r="A88" t="str">
        <v>BUNDLES-42X60</v>
      </c>
      <c r="B88" t="str">
        <v/>
      </c>
      <c r="C88">
        <v>0</v>
      </c>
      <c r="D88" t="str">
        <v>[]</v>
      </c>
    </row>
    <row r="89">
      <c r="A89" t="str">
        <v>BUNDLES-43X48</v>
      </c>
      <c r="B89" t="str">
        <v/>
      </c>
      <c r="C89">
        <v>0</v>
      </c>
      <c r="D89" t="str">
        <v>[]</v>
      </c>
    </row>
    <row r="90">
      <c r="A90" t="str">
        <v>BUNDLES-44X60</v>
      </c>
      <c r="B90" t="str">
        <v>6400 | 2900</v>
      </c>
      <c r="C90">
        <f>6400 + 2900</f>
      </c>
      <c r="D90" t="str">
        <v>["OLD","OLD"]</v>
      </c>
    </row>
    <row r="91">
      <c r="A91" t="str">
        <v>BUNDLES-50X70</v>
      </c>
      <c r="B91" t="str">
        <v/>
      </c>
      <c r="C91">
        <v>0</v>
      </c>
      <c r="D91" t="str">
        <v>[]</v>
      </c>
    </row>
    <row r="92">
      <c r="A92" t="str">
        <v>W-GLUE-440L</v>
      </c>
      <c r="B92" t="str">
        <v/>
      </c>
      <c r="C92">
        <v>0</v>
      </c>
      <c r="D92" t="str">
        <v>[]</v>
      </c>
    </row>
    <row r="93">
      <c r="A93" t="str">
        <v>TRY-WAFER-PSC</v>
      </c>
      <c r="B93" t="str">
        <v/>
      </c>
      <c r="C93">
        <v>0</v>
      </c>
      <c r="D93" t="str">
        <v>[]</v>
      </c>
    </row>
    <row r="94">
      <c r="A94" t="str">
        <v>CARTONS</v>
      </c>
      <c r="B94" t="str">
        <v/>
      </c>
      <c r="C94">
        <v>0</v>
      </c>
      <c r="D94" t="str">
        <v>[]</v>
      </c>
    </row>
    <row r="95">
      <c r="A95" t="str">
        <v>CTN-2IN1-SI-MA-MB</v>
      </c>
      <c r="B95" t="str">
        <v/>
      </c>
      <c r="C95">
        <v>0</v>
      </c>
      <c r="D95" t="str">
        <v>[]</v>
      </c>
    </row>
    <row r="96">
      <c r="A96" t="str">
        <v>CTN-BA-BH-EXP</v>
      </c>
      <c r="B96" t="str">
        <v/>
      </c>
      <c r="C96">
        <v>0</v>
      </c>
      <c r="D96" t="str">
        <v>[]</v>
      </c>
    </row>
    <row r="97">
      <c r="A97" t="str">
        <v>CTN-BIZ-DG-3IN1</v>
      </c>
      <c r="B97" t="str">
        <v/>
      </c>
      <c r="C97">
        <v>0</v>
      </c>
      <c r="D97" t="str">
        <v>[]</v>
      </c>
    </row>
    <row r="98">
      <c r="A98" t="str">
        <v>CTN-BIZ-MF-3IN1</v>
      </c>
      <c r="B98" t="str">
        <v/>
      </c>
      <c r="C98">
        <v>0</v>
      </c>
      <c r="D98" t="str">
        <v>[]</v>
      </c>
    </row>
    <row r="99">
      <c r="A99" t="str">
        <v>CTN-BGMXS-T5G</v>
      </c>
      <c r="B99" t="str">
        <v/>
      </c>
      <c r="C99">
        <v>0</v>
      </c>
      <c r="D99" t="str">
        <v>[]</v>
      </c>
    </row>
    <row r="100">
      <c r="A100" t="str">
        <v>CTN-BM 5IN1</v>
      </c>
      <c r="B100" t="str">
        <v/>
      </c>
      <c r="C100">
        <v>0</v>
      </c>
      <c r="D100" t="str">
        <v>[]</v>
      </c>
    </row>
    <row r="101">
      <c r="A101" t="str">
        <v>CTN-BM-5IN1-EXP</v>
      </c>
      <c r="B101" t="str">
        <v/>
      </c>
      <c r="C101">
        <v>0</v>
      </c>
      <c r="D101" t="str">
        <v>[]</v>
      </c>
    </row>
    <row r="102">
      <c r="A102" t="str">
        <v>CTN-BP-DG-42</v>
      </c>
      <c r="B102" t="str">
        <v/>
      </c>
      <c r="C102">
        <v>0</v>
      </c>
      <c r="D102" t="str">
        <v>[]</v>
      </c>
    </row>
    <row r="103">
      <c r="A103" t="str">
        <v>CTN-BP-DG-EXP</v>
      </c>
      <c r="B103" t="str">
        <v/>
      </c>
      <c r="C103">
        <v>0</v>
      </c>
      <c r="D103" t="str">
        <v>[]</v>
      </c>
    </row>
    <row r="104">
      <c r="A104" t="str">
        <v>CTN-BP-MF-24G</v>
      </c>
      <c r="B104" t="str">
        <v/>
      </c>
      <c r="C104">
        <v>0</v>
      </c>
      <c r="D104" t="str">
        <v>[]</v>
      </c>
    </row>
    <row r="105">
      <c r="A105" t="str">
        <v>CTN-BPP-FP</v>
      </c>
      <c r="B105" t="str">
        <v/>
      </c>
      <c r="C105">
        <v>0</v>
      </c>
      <c r="D105" t="str">
        <v>[]</v>
      </c>
    </row>
    <row r="106">
      <c r="A106" t="str">
        <v>CTN-BPP-VP</v>
      </c>
      <c r="B106" t="str">
        <v/>
      </c>
      <c r="C106">
        <v>0</v>
      </c>
      <c r="D106" t="str">
        <v>[]</v>
      </c>
    </row>
    <row r="107">
      <c r="A107" t="str">
        <v>CTN-CF-ORIG</v>
      </c>
      <c r="B107" t="str">
        <v/>
      </c>
      <c r="C107">
        <v>0</v>
      </c>
      <c r="D107" t="str">
        <v>[]</v>
      </c>
    </row>
    <row r="108">
      <c r="A108" t="str">
        <v>CTN-CF-ORIG-MINI</v>
      </c>
      <c r="B108" t="str">
        <v/>
      </c>
      <c r="C108">
        <v>0</v>
      </c>
      <c r="D108" t="str">
        <v>[]</v>
      </c>
    </row>
    <row r="109">
      <c r="A109" t="str">
        <v>CTN-CHPL-SI-HA</v>
      </c>
      <c r="B109" t="str">
        <v/>
      </c>
      <c r="C109">
        <v>0</v>
      </c>
      <c r="D109" t="str">
        <v>[]</v>
      </c>
    </row>
    <row r="110">
      <c r="A110" t="str">
        <v>CTN-CKP</v>
      </c>
      <c r="B110" t="str">
        <v/>
      </c>
      <c r="C110">
        <v>0</v>
      </c>
      <c r="D110" t="str">
        <v>[]</v>
      </c>
    </row>
    <row r="111">
      <c r="A111" t="str">
        <v>CTN-CPLW-HA</v>
      </c>
      <c r="B111" t="str">
        <v/>
      </c>
      <c r="C111">
        <v>0</v>
      </c>
      <c r="D111" t="str">
        <v>[]</v>
      </c>
    </row>
    <row r="112">
      <c r="A112" t="str">
        <v>CTN-CPLW-HA-SNG</v>
      </c>
      <c r="B112" t="str">
        <v/>
      </c>
      <c r="C112">
        <v>0</v>
      </c>
      <c r="D112" t="str">
        <v>[]</v>
      </c>
    </row>
    <row r="113">
      <c r="A113" t="str">
        <v>CTN-CPLWLS-2IN1</v>
      </c>
      <c r="B113" t="str">
        <v/>
      </c>
      <c r="C113">
        <v>0</v>
      </c>
      <c r="D113" t="str">
        <v>[]</v>
      </c>
    </row>
    <row r="114">
      <c r="A114" t="str">
        <v>CTN-CRPXS5G-HTW</v>
      </c>
      <c r="B114" t="str">
        <v/>
      </c>
      <c r="C114">
        <v>0</v>
      </c>
      <c r="D114" t="str">
        <v>[]</v>
      </c>
    </row>
    <row r="115">
      <c r="A115" t="str">
        <v>CTN-GCHCXB5G-HTW</v>
      </c>
      <c r="B115" t="str">
        <v/>
      </c>
      <c r="C115">
        <v>0</v>
      </c>
      <c r="D115" t="str">
        <v>[]</v>
      </c>
    </row>
    <row r="116">
      <c r="A116" t="str">
        <v>CTN-F-P</v>
      </c>
      <c r="B116" t="str">
        <v/>
      </c>
      <c r="C116">
        <v>0</v>
      </c>
      <c r="D116" t="str">
        <v>[]</v>
      </c>
    </row>
    <row r="117">
      <c r="A117" t="str">
        <v>CTN-GCHC-C</v>
      </c>
      <c r="B117" t="str">
        <v/>
      </c>
      <c r="C117">
        <v>0</v>
      </c>
      <c r="D117" t="str">
        <v>[]</v>
      </c>
    </row>
    <row r="118">
      <c r="A118" t="str">
        <v>CTN-GP-UB-30</v>
      </c>
      <c r="B118" t="str">
        <v/>
      </c>
      <c r="C118">
        <v>0</v>
      </c>
      <c r="D118" t="str">
        <v>[]</v>
      </c>
    </row>
    <row r="119">
      <c r="A119" t="str">
        <v>CTN-GPSE-PG</v>
      </c>
      <c r="B119" t="str">
        <v/>
      </c>
      <c r="C119">
        <v>0</v>
      </c>
      <c r="D119" t="str">
        <v>[]</v>
      </c>
    </row>
    <row r="120">
      <c r="A120" t="str">
        <v>CTN-OPCSE-PS</v>
      </c>
      <c r="B120" t="str">
        <v/>
      </c>
      <c r="C120">
        <v>0</v>
      </c>
      <c r="D120" t="str">
        <v>[]</v>
      </c>
    </row>
    <row r="121">
      <c r="A121" t="str">
        <v>CTN-HC-GA</v>
      </c>
      <c r="B121" t="str">
        <v/>
      </c>
      <c r="C121">
        <v>0</v>
      </c>
      <c r="D121" t="str">
        <v>[]</v>
      </c>
    </row>
    <row r="122">
      <c r="A122" t="str">
        <v>CTN-H-GL3-1-1L</v>
      </c>
      <c r="B122" t="str">
        <v/>
      </c>
      <c r="C122">
        <v>0</v>
      </c>
      <c r="D122" t="str">
        <v>[]</v>
      </c>
    </row>
    <row r="123">
      <c r="A123" t="str">
        <v>CTN-IB-WAFCCC-STE</v>
      </c>
      <c r="B123" t="str">
        <v>12946 l 9500</v>
      </c>
      <c r="C123">
        <f>12946+9500</f>
      </c>
      <c r="D123" t="str">
        <v>["",""]</v>
      </c>
    </row>
    <row r="124">
      <c r="A124" t="str">
        <v>CTN-IB-WAFCHOC-STE</v>
      </c>
      <c r="B124" t="str">
        <v/>
      </c>
      <c r="C124">
        <v>0</v>
      </c>
      <c r="D124" t="str">
        <v>[]</v>
      </c>
    </row>
    <row r="125">
      <c r="A125" t="str">
        <v>CTN-IB-WAFLFN-STE</v>
      </c>
      <c r="B125" t="str">
        <v>13500 l 2650</v>
      </c>
      <c r="C125">
        <f>13500+2650</f>
      </c>
      <c r="D125" t="str">
        <v>["",""]</v>
      </c>
    </row>
    <row r="126">
      <c r="A126" t="str">
        <v>CTN-KYFXS-T5G</v>
      </c>
      <c r="B126" t="str">
        <v/>
      </c>
      <c r="C126">
        <v>0</v>
      </c>
      <c r="D126" t="str">
        <v>[]</v>
      </c>
    </row>
    <row r="127">
      <c r="A127" t="str">
        <v>CTN-L-P19</v>
      </c>
      <c r="B127" t="str">
        <v/>
      </c>
      <c r="C127">
        <v>0</v>
      </c>
      <c r="D127" t="str">
        <v>[]</v>
      </c>
    </row>
    <row r="128">
      <c r="A128" t="str">
        <v>CTN-L-MRM-GM</v>
      </c>
      <c r="B128" t="str">
        <v/>
      </c>
      <c r="C128">
        <v>0</v>
      </c>
      <c r="D128" t="str">
        <v>[]</v>
      </c>
    </row>
    <row r="129">
      <c r="A129" t="str">
        <v>CTN-LC</v>
      </c>
      <c r="B129" t="str">
        <v/>
      </c>
      <c r="C129">
        <v>0</v>
      </c>
      <c r="D129" t="str">
        <v>[]</v>
      </c>
    </row>
    <row r="130">
      <c r="A130" t="str">
        <v>CTN-MARTYS UA-51N1</v>
      </c>
      <c r="B130" t="str">
        <v/>
      </c>
      <c r="C130">
        <v>0</v>
      </c>
      <c r="D130" t="str">
        <v>[]</v>
      </c>
    </row>
    <row r="131">
      <c r="A131" t="str">
        <v>CTN-MARTYS-UA-EXP</v>
      </c>
      <c r="B131" t="str">
        <v/>
      </c>
      <c r="C131">
        <v>0</v>
      </c>
      <c r="D131" t="str">
        <v>[]</v>
      </c>
    </row>
    <row r="132">
      <c r="A132" t="str">
        <v>CTN-MARTYSUA-PLAIN</v>
      </c>
      <c r="B132" t="str">
        <v/>
      </c>
      <c r="C132">
        <v>0</v>
      </c>
      <c r="D132" t="str">
        <v>[]</v>
      </c>
    </row>
    <row r="133">
      <c r="A133" t="str">
        <v>CTN-MBS-TL</v>
      </c>
      <c r="B133" t="str">
        <v/>
      </c>
      <c r="C133">
        <v>0</v>
      </c>
      <c r="D133" t="str">
        <v>[]</v>
      </c>
    </row>
    <row r="134">
      <c r="A134" t="str">
        <v>CTN-MIGGOSUA-EXP</v>
      </c>
      <c r="B134" t="str">
        <v/>
      </c>
      <c r="C134">
        <v>0</v>
      </c>
      <c r="D134" t="str">
        <v>[]</v>
      </c>
    </row>
    <row r="135">
      <c r="A135" t="str">
        <v>CTN-NPPS-TL(PLAIN)</v>
      </c>
      <c r="B135" t="str">
        <v/>
      </c>
      <c r="C135">
        <v>0</v>
      </c>
      <c r="D135" t="str">
        <v>[]</v>
      </c>
    </row>
    <row r="136">
      <c r="A136" t="str">
        <v>CTN-NPPS-AA</v>
      </c>
      <c r="B136" t="str">
        <v/>
      </c>
      <c r="C136">
        <v>0</v>
      </c>
      <c r="D136" t="str">
        <v>[]</v>
      </c>
    </row>
    <row r="137">
      <c r="A137" t="str">
        <v>CTN-NPROG-AA</v>
      </c>
      <c r="B137" t="str">
        <v/>
      </c>
      <c r="C137">
        <v>0</v>
      </c>
      <c r="D137" t="str">
        <v>[]</v>
      </c>
    </row>
    <row r="138">
      <c r="A138" t="str">
        <v>CTN-OBJ(2)-35G</v>
      </c>
      <c r="B138" t="str">
        <v/>
      </c>
      <c r="C138">
        <v>0</v>
      </c>
      <c r="D138" t="str">
        <v>[]</v>
      </c>
    </row>
    <row r="139">
      <c r="A139" t="str">
        <v>CTN-OBJ-180G</v>
      </c>
      <c r="B139" t="str">
        <v/>
      </c>
      <c r="C139">
        <v>0</v>
      </c>
      <c r="D139" t="str">
        <v>[]</v>
      </c>
    </row>
    <row r="140">
      <c r="A140" t="str">
        <v>CTN-OBJ-360G</v>
      </c>
      <c r="B140" t="str">
        <v/>
      </c>
      <c r="C140">
        <v>0</v>
      </c>
      <c r="D140" t="str">
        <v>[]</v>
      </c>
    </row>
    <row r="141">
      <c r="A141" t="str">
        <v>CTN-OCCC110</v>
      </c>
      <c r="B141" t="str">
        <v/>
      </c>
      <c r="C141">
        <v>0</v>
      </c>
      <c r="D141" t="str">
        <v>[]</v>
      </c>
    </row>
    <row r="142">
      <c r="A142" t="str">
        <v>CTN-OCM-DIV</v>
      </c>
      <c r="B142" t="str">
        <v/>
      </c>
      <c r="C142">
        <v>0</v>
      </c>
      <c r="D142" t="str">
        <v>[]</v>
      </c>
    </row>
    <row r="143">
      <c r="A143" t="str">
        <v>CTN-OCM-SI-C2IN1</v>
      </c>
      <c r="B143" t="str">
        <v/>
      </c>
      <c r="C143">
        <v>0</v>
      </c>
      <c r="D143" t="str">
        <v>[]</v>
      </c>
    </row>
    <row r="144">
      <c r="A144" t="str">
        <v>CTN-OCM-SI-C3IN1</v>
      </c>
      <c r="B144" t="str">
        <v/>
      </c>
      <c r="C144">
        <v>0</v>
      </c>
      <c r="D144" t="str">
        <v>[]</v>
      </c>
    </row>
    <row r="145">
      <c r="A145" t="str">
        <v>CTN-OFCXS5G-HTW</v>
      </c>
      <c r="B145" t="str">
        <v/>
      </c>
      <c r="C145">
        <v>0</v>
      </c>
      <c r="D145" t="str">
        <v>[]</v>
      </c>
    </row>
    <row r="146">
      <c r="A146" t="str">
        <v>CTN-OFK-BA-EXP</v>
      </c>
      <c r="B146" t="str">
        <v/>
      </c>
      <c r="C146">
        <v>0</v>
      </c>
      <c r="D146" t="str">
        <v>[]</v>
      </c>
    </row>
    <row r="147">
      <c r="A147" t="str">
        <v>CTN-OGN-NT1-2IN1</v>
      </c>
      <c r="B147" t="str">
        <v/>
      </c>
      <c r="C147">
        <v>0</v>
      </c>
      <c r="D147" t="str">
        <v>[]</v>
      </c>
    </row>
    <row r="148">
      <c r="A148" t="str">
        <v>CTN-OGN-NT1-3IN1</v>
      </c>
      <c r="B148" t="str">
        <v/>
      </c>
      <c r="C148">
        <v>0</v>
      </c>
      <c r="D148" t="str">
        <v>[]</v>
      </c>
    </row>
    <row r="149">
      <c r="A149" t="str">
        <v>CTN-OGN-M</v>
      </c>
      <c r="B149" t="str">
        <v/>
      </c>
      <c r="C149">
        <v>0</v>
      </c>
      <c r="D149" t="str">
        <v>[]</v>
      </c>
    </row>
    <row r="150">
      <c r="A150" t="str">
        <v>CTN-OHEYA-CM</v>
      </c>
      <c r="B150" t="str">
        <v/>
      </c>
      <c r="C150">
        <v>0</v>
      </c>
      <c r="D150" t="str">
        <v>[]</v>
      </c>
    </row>
    <row r="151">
      <c r="A151" t="str">
        <v>CTN-OHEYA-TL(3IN1)</v>
      </c>
      <c r="B151" t="str">
        <v/>
      </c>
      <c r="C151">
        <v>0</v>
      </c>
      <c r="D151" t="str">
        <v>[]</v>
      </c>
    </row>
    <row r="152">
      <c r="A152" t="str">
        <v>CTN-OLCC-LT</v>
      </c>
      <c r="B152" t="str">
        <v/>
      </c>
      <c r="C152">
        <v>0</v>
      </c>
      <c r="D152" t="str">
        <v>[]</v>
      </c>
    </row>
    <row r="153">
      <c r="A153" t="str">
        <v>CTN-OMGC-UG</v>
      </c>
      <c r="B153" t="str">
        <v/>
      </c>
      <c r="C153">
        <v>0</v>
      </c>
      <c r="D153" t="str">
        <v>[]</v>
      </c>
    </row>
    <row r="154">
      <c r="A154" t="str">
        <v>CTN-OMGBQ-TL-BON</v>
      </c>
      <c r="B154" t="str">
        <v/>
      </c>
      <c r="C154">
        <v>0</v>
      </c>
      <c r="D154" t="str">
        <v>[]</v>
      </c>
    </row>
    <row r="155">
      <c r="A155" t="str">
        <v>CTN-OMGC-TL-BON</v>
      </c>
      <c r="B155" t="str">
        <v/>
      </c>
      <c r="C155">
        <v>0</v>
      </c>
      <c r="D155" t="str">
        <v>[]</v>
      </c>
    </row>
    <row r="156">
      <c r="A156" t="str">
        <v>CTN-OMGFO-TL-BON</v>
      </c>
      <c r="B156" t="str">
        <v/>
      </c>
      <c r="C156">
        <v>0</v>
      </c>
      <c r="D156" t="str">
        <v>[]</v>
      </c>
    </row>
    <row r="157">
      <c r="A157" t="str">
        <v>CTN-OMGSWD-TL-BON</v>
      </c>
      <c r="B157" t="str">
        <v/>
      </c>
      <c r="C157">
        <v>0</v>
      </c>
      <c r="D157" t="str">
        <v>[]</v>
      </c>
    </row>
    <row r="158">
      <c r="A158" t="str">
        <v>CTN-OMGBQ-JA-SNG</v>
      </c>
      <c r="B158" t="str">
        <v/>
      </c>
      <c r="C158">
        <v>0</v>
      </c>
      <c r="D158" t="str">
        <v>[]</v>
      </c>
    </row>
    <row r="159">
      <c r="A159" t="str">
        <v>CTN-OMGC-JA-SNG</v>
      </c>
      <c r="B159" t="str">
        <v/>
      </c>
      <c r="C159">
        <v>0</v>
      </c>
      <c r="D159" t="str">
        <v>[]</v>
      </c>
    </row>
    <row r="160">
      <c r="A160" t="str">
        <v>CTN-OPF12-3IN1</v>
      </c>
      <c r="B160" t="str">
        <v/>
      </c>
      <c r="C160">
        <v>0</v>
      </c>
      <c r="D160" t="str">
        <v>[]</v>
      </c>
    </row>
    <row r="161">
      <c r="A161" t="str">
        <v>CTN-OPF30-4IN1</v>
      </c>
      <c r="B161" t="str">
        <v/>
      </c>
      <c r="C161">
        <v>0</v>
      </c>
      <c r="D161" t="str">
        <v>[]</v>
      </c>
    </row>
    <row r="162">
      <c r="A162" t="str">
        <v>CTN-OPF-MM</v>
      </c>
      <c r="B162" t="str">
        <v/>
      </c>
      <c r="C162">
        <v>0</v>
      </c>
      <c r="D162" t="str">
        <v>[]</v>
      </c>
    </row>
    <row r="163">
      <c r="A163" t="str">
        <v>CTN-OPSS-UA</v>
      </c>
      <c r="B163" t="str">
        <v/>
      </c>
      <c r="C163">
        <v>0</v>
      </c>
      <c r="D163" t="str">
        <v>[]</v>
      </c>
    </row>
    <row r="164">
      <c r="A164" t="str">
        <v>CTN-OOR-L-BON</v>
      </c>
      <c r="B164" t="str">
        <v/>
      </c>
      <c r="C164">
        <v>0</v>
      </c>
      <c r="D164" t="str">
        <v>[]</v>
      </c>
    </row>
    <row r="165">
      <c r="A165" t="str">
        <v>CTN-PA-2IN1-EXP</v>
      </c>
      <c r="B165" t="str">
        <v/>
      </c>
      <c r="C165">
        <v>0</v>
      </c>
      <c r="D165" t="str">
        <v>[]</v>
      </c>
    </row>
    <row r="166">
      <c r="A166" t="str">
        <v>CTN-PA-3IN1</v>
      </c>
      <c r="B166" t="str">
        <v/>
      </c>
      <c r="C166">
        <v>0</v>
      </c>
      <c r="D166" t="str">
        <v>[]</v>
      </c>
    </row>
    <row r="167">
      <c r="A167" t="str">
        <v>CTN-CPLW-PA-SNG</v>
      </c>
      <c r="B167" t="str">
        <v/>
      </c>
      <c r="C167">
        <v>0</v>
      </c>
      <c r="D167" t="str">
        <v>[]</v>
      </c>
    </row>
    <row r="168">
      <c r="A168" t="str">
        <v>CTN-EHOPC-UA-SNG</v>
      </c>
      <c r="B168" t="str">
        <v/>
      </c>
      <c r="C168">
        <v>0</v>
      </c>
      <c r="D168" t="str">
        <v>[]</v>
      </c>
    </row>
    <row r="169">
      <c r="A169" t="str">
        <v>CTN-OPC-UA-SNG</v>
      </c>
      <c r="B169" t="str">
        <v/>
      </c>
      <c r="C169">
        <v>0</v>
      </c>
      <c r="D169" t="str">
        <v>[]</v>
      </c>
    </row>
    <row r="170">
      <c r="A170" t="str">
        <v>CTN-SOPC-UA-SNG</v>
      </c>
      <c r="B170" t="str">
        <v/>
      </c>
      <c r="C170">
        <v>0</v>
      </c>
      <c r="D170" t="str">
        <v>[]</v>
      </c>
    </row>
    <row r="171">
      <c r="A171" t="str">
        <v>CTN-PANCHOS-DC3IN1</v>
      </c>
      <c r="B171" t="str">
        <v/>
      </c>
      <c r="C171">
        <v>0</v>
      </c>
      <c r="D171" t="str">
        <v>[]</v>
      </c>
    </row>
    <row r="172">
      <c r="A172" t="str">
        <v>CTN-PANCHOS-JA3IN1</v>
      </c>
      <c r="B172" t="str">
        <v/>
      </c>
      <c r="C172">
        <v>0</v>
      </c>
      <c r="D172" t="str">
        <v>[]</v>
      </c>
    </row>
    <row r="173">
      <c r="A173" t="str">
        <v>CTN-PC-E</v>
      </c>
      <c r="B173" t="str">
        <v/>
      </c>
      <c r="C173">
        <v>0</v>
      </c>
      <c r="D173" t="str">
        <v>[]</v>
      </c>
    </row>
    <row r="174">
      <c r="A174" t="str">
        <v>CTN-PCRL</v>
      </c>
      <c r="B174" t="str">
        <v/>
      </c>
      <c r="C174">
        <v>0</v>
      </c>
      <c r="D174" t="str">
        <v>[]</v>
      </c>
    </row>
    <row r="175">
      <c r="A175" t="str">
        <v>CTN-PCRL-P</v>
      </c>
      <c r="B175" t="str">
        <v/>
      </c>
      <c r="C175">
        <v>0</v>
      </c>
      <c r="D175" t="str">
        <v>[]</v>
      </c>
    </row>
    <row r="176">
      <c r="A176" t="str">
        <v>CTN-PB-LS</v>
      </c>
      <c r="B176" t="str">
        <v/>
      </c>
      <c r="C176">
        <v>0</v>
      </c>
      <c r="D176" t="str">
        <v>[]</v>
      </c>
    </row>
    <row r="177">
      <c r="A177" t="str">
        <v>CTN-PCVRRL-2IN1</v>
      </c>
      <c r="B177" t="str">
        <v/>
      </c>
      <c r="C177">
        <v>0</v>
      </c>
      <c r="D177" t="str">
        <v>[]</v>
      </c>
    </row>
    <row r="178">
      <c r="A178" t="str">
        <v>CTN-PEA-FB</v>
      </c>
      <c r="B178" t="str">
        <v/>
      </c>
      <c r="C178">
        <v>0</v>
      </c>
      <c r="D178" t="str">
        <v>[]</v>
      </c>
    </row>
    <row r="179">
      <c r="A179" t="str">
        <v>CTN-PEA-LS</v>
      </c>
      <c r="B179" t="str">
        <v/>
      </c>
      <c r="C179">
        <v>0</v>
      </c>
      <c r="D179" t="str">
        <v>[]</v>
      </c>
    </row>
    <row r="180">
      <c r="A180" t="str">
        <v>CTN-PF-BM-BON</v>
      </c>
      <c r="B180" t="str">
        <v/>
      </c>
      <c r="C180">
        <v>0</v>
      </c>
      <c r="D180" t="str">
        <v>[]</v>
      </c>
    </row>
    <row r="181">
      <c r="A181" t="str">
        <v>CTN-PFK-BM-BON</v>
      </c>
      <c r="B181" t="str">
        <v/>
      </c>
      <c r="C181">
        <v>0</v>
      </c>
      <c r="D181" t="str">
        <v>[]</v>
      </c>
    </row>
    <row r="182">
      <c r="A182" t="str">
        <v>CTN-P-KCP</v>
      </c>
      <c r="B182" t="str">
        <v/>
      </c>
      <c r="C182">
        <v>0</v>
      </c>
      <c r="D182" t="str">
        <v>[]</v>
      </c>
    </row>
    <row r="183">
      <c r="A183" t="str">
        <v>CTN-PLUNGE-2IN1</v>
      </c>
      <c r="B183" t="str">
        <v/>
      </c>
      <c r="C183">
        <v>0</v>
      </c>
      <c r="D183" t="str">
        <v>[]</v>
      </c>
    </row>
    <row r="184">
      <c r="A184" t="str">
        <v>CTN-PLUNGE-PA</v>
      </c>
      <c r="B184" t="str">
        <v/>
      </c>
      <c r="C184">
        <v>0</v>
      </c>
      <c r="D184" t="str">
        <v>[]</v>
      </c>
    </row>
    <row r="185">
      <c r="A185" t="str">
        <v>CTN-P-NPC-PFL</v>
      </c>
      <c r="B185" t="str">
        <v/>
      </c>
      <c r="C185">
        <v>0</v>
      </c>
      <c r="D185" t="str">
        <v>[]</v>
      </c>
    </row>
    <row r="186">
      <c r="A186" t="str">
        <v>CTN-P-NPC-TL</v>
      </c>
      <c r="B186" t="str">
        <v/>
      </c>
      <c r="C186">
        <v>0</v>
      </c>
      <c r="D186" t="str">
        <v>[]</v>
      </c>
    </row>
    <row r="187">
      <c r="A187" t="str">
        <v>CTN-PNT-3IN1</v>
      </c>
      <c r="B187" t="str">
        <v/>
      </c>
      <c r="C187">
        <v>0</v>
      </c>
      <c r="D187" t="str">
        <v>[]</v>
      </c>
    </row>
    <row r="188">
      <c r="A188" t="str">
        <v>CTN-PNT-PK</v>
      </c>
      <c r="B188" t="str">
        <v/>
      </c>
      <c r="C188">
        <v>0</v>
      </c>
      <c r="D188" t="str">
        <v>[]</v>
      </c>
    </row>
    <row r="189">
      <c r="A189" t="str">
        <v>CTN-PNC-DE</v>
      </c>
      <c r="B189" t="str">
        <v/>
      </c>
      <c r="C189">
        <v>0</v>
      </c>
      <c r="D189" t="str">
        <v>[]</v>
      </c>
    </row>
    <row r="190">
      <c r="A190" t="str">
        <v>CTN-GNP-NT2</v>
      </c>
      <c r="B190" t="str">
        <v/>
      </c>
      <c r="C190">
        <v>0</v>
      </c>
      <c r="D190" t="str">
        <v>[]</v>
      </c>
    </row>
    <row r="191">
      <c r="A191" t="str">
        <v>CTN-GNPSS-NT3</v>
      </c>
      <c r="B191" t="str">
        <v/>
      </c>
      <c r="C191">
        <v>0</v>
      </c>
      <c r="D191" t="str">
        <v>[]</v>
      </c>
    </row>
    <row r="192">
      <c r="A192" t="str">
        <v>CTN-PNTGS-DA-20</v>
      </c>
      <c r="B192" t="str">
        <v/>
      </c>
      <c r="C192">
        <v>0</v>
      </c>
      <c r="D192" t="str">
        <v>[]</v>
      </c>
    </row>
    <row r="193">
      <c r="A193" t="str">
        <v>CTN-POPCA-PN</v>
      </c>
      <c r="B193" t="str">
        <v/>
      </c>
      <c r="C193">
        <v>0</v>
      </c>
      <c r="D193" t="str">
        <v>[]</v>
      </c>
    </row>
    <row r="194">
      <c r="A194" t="str">
        <v>CTN-POPCC-F</v>
      </c>
      <c r="B194" t="str">
        <v/>
      </c>
      <c r="C194">
        <v>0</v>
      </c>
      <c r="D194" t="str">
        <v>[]</v>
      </c>
    </row>
    <row r="195">
      <c r="A195" t="str">
        <v>CTN-POP-F-3IN1</v>
      </c>
      <c r="B195" t="str">
        <v/>
      </c>
      <c r="C195">
        <v>0</v>
      </c>
      <c r="D195" t="str">
        <v>[]</v>
      </c>
    </row>
    <row r="196">
      <c r="A196" t="str">
        <v>CTN-RC-UA</v>
      </c>
      <c r="B196" t="str">
        <v/>
      </c>
      <c r="C196">
        <v>0</v>
      </c>
      <c r="D196" t="str">
        <v>[]</v>
      </c>
    </row>
    <row r="197">
      <c r="A197" t="str">
        <v>CTN-R-NPC-PFL</v>
      </c>
      <c r="B197" t="str">
        <v/>
      </c>
      <c r="C197">
        <v>0</v>
      </c>
      <c r="D197" t="str">
        <v>[]</v>
      </c>
    </row>
    <row r="198">
      <c r="A198" t="str">
        <v>CTN-R-NPC-TL</v>
      </c>
      <c r="B198" t="str">
        <v/>
      </c>
      <c r="C198">
        <v>0</v>
      </c>
      <c r="D198" t="str">
        <v>[]</v>
      </c>
    </row>
    <row r="199">
      <c r="A199" t="str">
        <v>CTN-NPR-TL-4IN1</v>
      </c>
      <c r="B199" t="str">
        <v/>
      </c>
      <c r="C199">
        <v>0</v>
      </c>
      <c r="D199" t="str">
        <v>[]</v>
      </c>
    </row>
    <row r="200">
      <c r="A200" t="str">
        <v>CTN-NPR-PFL-5IN1</v>
      </c>
      <c r="B200" t="str">
        <v/>
      </c>
      <c r="C200">
        <v>0</v>
      </c>
      <c r="D200" t="str">
        <v>[]</v>
      </c>
    </row>
    <row r="201">
      <c r="A201" t="str">
        <v>CTN-NPR-PFL-4IN1</v>
      </c>
      <c r="B201" t="str">
        <v/>
      </c>
      <c r="C201">
        <v>0</v>
      </c>
      <c r="D201" t="str">
        <v>[]</v>
      </c>
    </row>
    <row r="202">
      <c r="A202" t="str">
        <v>CTN-SF-4IN1</v>
      </c>
      <c r="B202" t="str">
        <v/>
      </c>
      <c r="C202">
        <v>0</v>
      </c>
      <c r="D202" t="str">
        <v>[]</v>
      </c>
    </row>
    <row r="203">
      <c r="A203" t="str">
        <v>CTN-SF-4IN1-EXP</v>
      </c>
      <c r="B203" t="str">
        <v/>
      </c>
      <c r="C203">
        <v>0</v>
      </c>
      <c r="D203" t="str">
        <v>[]</v>
      </c>
    </row>
    <row r="204">
      <c r="A204" t="str">
        <v>CTN-SOPC-L-BON</v>
      </c>
      <c r="B204" t="str">
        <v/>
      </c>
      <c r="C204">
        <v>0</v>
      </c>
      <c r="D204" t="str">
        <v>[]</v>
      </c>
    </row>
    <row r="205">
      <c r="A205" t="str">
        <v>CTN-SPNC-LS-3IN1</v>
      </c>
      <c r="B205" t="str">
        <v/>
      </c>
      <c r="C205">
        <v>0</v>
      </c>
      <c r="D205" t="str">
        <v>[]</v>
      </c>
    </row>
    <row r="206">
      <c r="A206" t="str">
        <v>CTN-SPNG-LS</v>
      </c>
      <c r="B206" t="str">
        <v/>
      </c>
      <c r="C206">
        <v>0</v>
      </c>
      <c r="D206" t="str">
        <v>[]</v>
      </c>
    </row>
    <row r="207">
      <c r="A207" t="str">
        <v>CTN-SPNGU-LS</v>
      </c>
      <c r="B207" t="str">
        <v/>
      </c>
      <c r="C207">
        <v>0</v>
      </c>
      <c r="D207" t="str">
        <v>[]</v>
      </c>
    </row>
    <row r="208">
      <c r="A208" t="str">
        <v>CTN-SPNC-PA-2IN1</v>
      </c>
      <c r="B208" t="str">
        <v/>
      </c>
      <c r="C208">
        <v>0</v>
      </c>
      <c r="D208" t="str">
        <v>[]</v>
      </c>
    </row>
    <row r="209">
      <c r="A209" t="str">
        <v>CTN-SSP-RM</v>
      </c>
      <c r="B209" t="str">
        <v/>
      </c>
      <c r="C209">
        <v>0</v>
      </c>
      <c r="D209" t="str">
        <v>[]</v>
      </c>
    </row>
    <row r="210">
      <c r="A210" t="str">
        <v>CTN-UA-3IN1</v>
      </c>
      <c r="B210" t="str">
        <v/>
      </c>
      <c r="C210">
        <v>0</v>
      </c>
      <c r="D210" t="str">
        <v>[]</v>
      </c>
    </row>
    <row r="211">
      <c r="A211" t="str">
        <v>CTN-UA-5IN1</v>
      </c>
      <c r="B211" t="str">
        <v/>
      </c>
      <c r="C211">
        <v>0</v>
      </c>
      <c r="D211" t="str">
        <v>[]</v>
      </c>
    </row>
    <row r="212">
      <c r="A212" t="str">
        <v>CTN-UA-6IN1-EXP</v>
      </c>
      <c r="B212" t="str">
        <v/>
      </c>
      <c r="C212">
        <v>0</v>
      </c>
      <c r="D212" t="str">
        <v>[]</v>
      </c>
    </row>
    <row r="213">
      <c r="A213" t="str">
        <v>CTN-UA-7IN1</v>
      </c>
      <c r="B213" t="str">
        <v/>
      </c>
      <c r="C213">
        <v>0</v>
      </c>
      <c r="D213" t="str">
        <v>[]</v>
      </c>
    </row>
    <row r="214">
      <c r="A214" t="str">
        <v>CTN-UA-7IN1-EXP</v>
      </c>
      <c r="B214" t="str">
        <v/>
      </c>
      <c r="C214">
        <v>0</v>
      </c>
      <c r="D214" t="str">
        <v>[]</v>
      </c>
    </row>
    <row r="215">
      <c r="A215" t="str">
        <v>CTN-UA-8IN1</v>
      </c>
      <c r="B215" t="str">
        <v/>
      </c>
      <c r="C215">
        <v>0</v>
      </c>
      <c r="D215" t="str">
        <v>[]</v>
      </c>
    </row>
    <row r="216">
      <c r="A216" t="str">
        <v>CTN-WAFU-IT-3IN1</v>
      </c>
      <c r="B216" t="str">
        <v/>
      </c>
      <c r="C216">
        <v>0</v>
      </c>
      <c r="D216" t="str">
        <v>[]</v>
      </c>
    </row>
    <row r="217">
      <c r="A217" t="str">
        <v>CTN-WAFU-OUTER3IN1</v>
      </c>
      <c r="B217" t="str">
        <v/>
      </c>
      <c r="C217">
        <v>0</v>
      </c>
      <c r="D217" t="str">
        <v>[]</v>
      </c>
    </row>
    <row r="218">
      <c r="A218" t="str">
        <v>CTN-WEESHEE-2016</v>
      </c>
      <c r="B218" t="str">
        <v/>
      </c>
      <c r="C218">
        <v>0</v>
      </c>
      <c r="D218" t="str">
        <v>[]</v>
      </c>
    </row>
    <row r="219">
      <c r="A219" t="str">
        <v>CTN-ZGCHO-DA</v>
      </c>
      <c r="B219" t="str">
        <v/>
      </c>
      <c r="C219">
        <v>0</v>
      </c>
      <c r="D219" t="str">
        <v>[]</v>
      </c>
    </row>
    <row r="220">
      <c r="A220" t="str">
        <v>CTN-ZGCHO-LS</v>
      </c>
      <c r="B220" t="str">
        <v/>
      </c>
      <c r="C220">
        <v>0</v>
      </c>
      <c r="D220" t="str">
        <v>[]</v>
      </c>
    </row>
    <row r="221">
      <c r="A221" t="str">
        <v>CTN-4XBQUA-TAI</v>
      </c>
      <c r="B221" t="str">
        <v/>
      </c>
      <c r="C221">
        <v>0</v>
      </c>
      <c r="D221" t="str">
        <v>[]</v>
      </c>
    </row>
    <row r="222">
      <c r="A222" t="str">
        <v>CTN-4XCHUA-TAI</v>
      </c>
      <c r="B222" t="str">
        <v/>
      </c>
      <c r="C222">
        <v>0</v>
      </c>
      <c r="D222" t="str">
        <v>[]</v>
      </c>
    </row>
    <row r="223">
      <c r="A223" t="str">
        <v>CTN-MIGCHUA-TAI</v>
      </c>
      <c r="B223" t="str">
        <v/>
      </c>
      <c r="C223">
        <v>0</v>
      </c>
      <c r="D223" t="str">
        <v>[]</v>
      </c>
    </row>
    <row r="224">
      <c r="A224" t="str">
        <v>CTN-MIGSWCUA-TAI</v>
      </c>
      <c r="B224" t="str">
        <v/>
      </c>
      <c r="C224">
        <v>0</v>
      </c>
      <c r="D224" t="str">
        <v>[]</v>
      </c>
    </row>
    <row r="225">
      <c r="A225" t="str">
        <v>CTN-OPSSUA-TAI</v>
      </c>
      <c r="B225" t="str">
        <v/>
      </c>
      <c r="C225">
        <v>0</v>
      </c>
      <c r="D225" t="str">
        <v>[]</v>
      </c>
    </row>
    <row r="226">
      <c r="A226" t="str">
        <v>CTN-PFCUA-TAI</v>
      </c>
      <c r="B226" t="str">
        <v/>
      </c>
      <c r="C226">
        <v>0</v>
      </c>
      <c r="D226" t="str">
        <v>[]</v>
      </c>
    </row>
    <row r="227">
      <c r="A227" t="str">
        <v>CTN-MVC</v>
      </c>
      <c r="B227" t="str">
        <v/>
      </c>
      <c r="C227">
        <v>0</v>
      </c>
      <c r="D227" t="str">
        <v>[]</v>
      </c>
    </row>
    <row r="228">
      <c r="A228" t="str">
        <v>CTN-OORL-UA30</v>
      </c>
      <c r="B228" t="str">
        <v/>
      </c>
      <c r="C228">
        <v>0</v>
      </c>
      <c r="D228" t="str">
        <v>[]</v>
      </c>
    </row>
    <row r="229">
      <c r="A229" t="str">
        <v>LABELS</v>
      </c>
      <c r="B229" t="str">
        <v/>
      </c>
      <c r="C229">
        <v>0</v>
      </c>
      <c r="D229" t="str">
        <v>[]</v>
      </c>
    </row>
    <row r="230">
      <c r="A230" t="str">
        <v>LBL-4XBQL24G</v>
      </c>
      <c r="B230" t="str">
        <v/>
      </c>
      <c r="C230">
        <v>0</v>
      </c>
      <c r="D230" t="str">
        <v>[]</v>
      </c>
    </row>
    <row r="231">
      <c r="A231" t="str">
        <v>LBL-4XBQL24G_NS</v>
      </c>
      <c r="B231" t="str">
        <v>44</v>
      </c>
      <c r="C231">
        <f>44</f>
      </c>
      <c r="D231" t="str">
        <v>["first out"]</v>
      </c>
    </row>
    <row r="232">
      <c r="A232" t="str">
        <v>LBL-4XBQ-UA85G</v>
      </c>
      <c r="B232" t="str">
        <v>3x18+9</v>
      </c>
      <c r="C232">
        <f>3*18+9</f>
      </c>
      <c r="D232" t="str">
        <v>["approved","approved"]</v>
      </c>
    </row>
    <row r="233">
      <c r="A233" t="str">
        <v>LBL-4XCHL24G</v>
      </c>
      <c r="B233" t="str">
        <v/>
      </c>
      <c r="C233">
        <v>0</v>
      </c>
      <c r="D233" t="str">
        <v>[]</v>
      </c>
    </row>
    <row r="234">
      <c r="A234" t="str">
        <v>LBL-4XCHL24G_NS</v>
      </c>
      <c r="B234" t="str">
        <v/>
      </c>
      <c r="C234">
        <v>0</v>
      </c>
      <c r="D234" t="str">
        <v>[]</v>
      </c>
    </row>
    <row r="235">
      <c r="A235" t="str">
        <v>LBL-4XCH-UA85G</v>
      </c>
      <c r="B235" t="str">
        <v>18 | 11 | 12</v>
      </c>
      <c r="C235">
        <f>18 + 11 + 12</f>
      </c>
      <c r="D235" t="str">
        <v>["OLD","OLD","OLD"]</v>
      </c>
    </row>
    <row r="236">
      <c r="A236" t="str">
        <v>LBL-4XSWCL24G</v>
      </c>
      <c r="B236" t="str">
        <v/>
      </c>
      <c r="C236">
        <v>0</v>
      </c>
      <c r="D236" t="str">
        <v>[]</v>
      </c>
    </row>
    <row r="237">
      <c r="A237" t="str">
        <v>LBL-BGML24G</v>
      </c>
      <c r="B237" t="str">
        <v/>
      </c>
      <c r="C237">
        <v>0</v>
      </c>
      <c r="D237" t="str">
        <v>[]</v>
      </c>
    </row>
    <row r="238">
      <c r="A238" t="str">
        <v>LBL-BGML24G-ND</v>
      </c>
      <c r="B238" t="str">
        <v/>
      </c>
      <c r="C238">
        <v>0</v>
      </c>
      <c r="D238" t="str">
        <v>[]</v>
      </c>
    </row>
    <row r="239">
      <c r="A239" t="str">
        <v>LBL-BGML24G_NS</v>
      </c>
      <c r="B239" t="str">
        <v/>
      </c>
      <c r="C239">
        <v>0</v>
      </c>
      <c r="D239" t="str">
        <v>[]</v>
      </c>
    </row>
    <row r="240">
      <c r="A240" t="str">
        <v>LBL-BGMXS5G</v>
      </c>
      <c r="B240" t="str">
        <v/>
      </c>
      <c r="C240">
        <v>0</v>
      </c>
      <c r="D240" t="str">
        <v>[]</v>
      </c>
    </row>
    <row r="241">
      <c r="A241" t="str">
        <v>LBL-BGMXS5G-EXP</v>
      </c>
      <c r="B241" t="str">
        <v/>
      </c>
      <c r="C241">
        <v>0</v>
      </c>
      <c r="D241" t="str">
        <v>[]</v>
      </c>
    </row>
    <row r="242">
      <c r="A242" t="str">
        <v>LBL-BGMXS5G-EXP_NS</v>
      </c>
      <c r="B242" t="str">
        <v>109 l 13</v>
      </c>
      <c r="C242">
        <f>109+13</f>
      </c>
      <c r="D242" t="str">
        <v>["",""]</v>
      </c>
    </row>
    <row r="243">
      <c r="A243" t="str">
        <v>LBL-BGMXS5G-M</v>
      </c>
      <c r="B243" t="str">
        <v/>
      </c>
      <c r="C243">
        <v>0</v>
      </c>
      <c r="D243" t="str">
        <v>[]</v>
      </c>
    </row>
    <row r="244">
      <c r="A244" t="str">
        <v>LBL-BIZCHSDG48G</v>
      </c>
      <c r="B244" t="str">
        <v>27 | 15</v>
      </c>
      <c r="C244">
        <f>27 + 15</f>
      </c>
      <c r="D244" t="str">
        <v>["",""]</v>
      </c>
    </row>
    <row r="245">
      <c r="A245" t="str">
        <v>LBL-BIZODG48G</v>
      </c>
      <c r="B245" t="str">
        <v/>
      </c>
      <c r="C245">
        <v>0</v>
      </c>
      <c r="D245" t="str">
        <v>[]</v>
      </c>
    </row>
    <row r="246">
      <c r="A246" t="str">
        <v>LBL-BIZSCODG48G</v>
      </c>
      <c r="B246" t="str">
        <v>27 | 17</v>
      </c>
      <c r="C246">
        <f>27 + 17</f>
      </c>
      <c r="D246" t="str">
        <v>["",""]</v>
      </c>
    </row>
    <row r="247">
      <c r="A247" t="str">
        <v>LBL-BIZSCOMF28G</v>
      </c>
      <c r="B247" t="str">
        <v/>
      </c>
      <c r="C247">
        <v>0</v>
      </c>
      <c r="D247" t="str">
        <v>[]</v>
      </c>
    </row>
    <row r="248">
      <c r="A248" t="str">
        <v>LBL-BIZSCOMF28G_NS</v>
      </c>
      <c r="B248" t="str">
        <v/>
      </c>
      <c r="C248">
        <v>0</v>
      </c>
      <c r="D248" t="str">
        <v>[]</v>
      </c>
    </row>
    <row r="249">
      <c r="A249" t="str">
        <v>LBL-BIZCHSMF28G</v>
      </c>
      <c r="B249" t="str">
        <v/>
      </c>
      <c r="C249">
        <v>0</v>
      </c>
      <c r="D249" t="str">
        <v>[]</v>
      </c>
    </row>
    <row r="250">
      <c r="A250" t="str">
        <v>LBL-BIZCHSMF28G_NS</v>
      </c>
      <c r="B250" t="str">
        <v/>
      </c>
      <c r="C250">
        <v>0</v>
      </c>
      <c r="D250" t="str">
        <v>[]</v>
      </c>
    </row>
    <row r="251">
      <c r="A251" t="str">
        <v>LBL-BIZOMF28G</v>
      </c>
      <c r="B251" t="str">
        <v/>
      </c>
      <c r="C251">
        <v>0</v>
      </c>
      <c r="D251" t="str">
        <v>[]</v>
      </c>
    </row>
    <row r="252">
      <c r="A252" t="str">
        <v>LBL-BIZOMF28G_NS</v>
      </c>
      <c r="B252" t="str">
        <v/>
      </c>
      <c r="C252">
        <v>0</v>
      </c>
      <c r="D252" t="str">
        <v>[]</v>
      </c>
    </row>
    <row r="253">
      <c r="A253" t="str">
        <v>LBL-BPNBTDG42G</v>
      </c>
      <c r="B253" t="str">
        <v/>
      </c>
      <c r="C253">
        <v>0</v>
      </c>
      <c r="D253" t="str">
        <v>[]</v>
      </c>
    </row>
    <row r="254">
      <c r="A254" t="str">
        <v>LBL-BPNBTDG42G-HK</v>
      </c>
      <c r="B254" t="str">
        <v/>
      </c>
      <c r="C254">
        <v>0</v>
      </c>
      <c r="D254" t="str">
        <v>[]</v>
      </c>
    </row>
    <row r="255">
      <c r="A255" t="str">
        <v>LBL-BPNBTDG42G-US</v>
      </c>
      <c r="B255" t="str">
        <v/>
      </c>
      <c r="C255">
        <v>0</v>
      </c>
      <c r="D255" t="str">
        <v>[]</v>
      </c>
    </row>
    <row r="256">
      <c r="A256" t="str">
        <v>LBL-BPNBTMF24G</v>
      </c>
      <c r="B256" t="str">
        <v/>
      </c>
      <c r="C256">
        <v>0</v>
      </c>
      <c r="D256" t="str">
        <v>[]</v>
      </c>
    </row>
    <row r="257">
      <c r="A257" t="str">
        <v>LBL-BPNBTMF24G_NS</v>
      </c>
      <c r="B257" t="str">
        <v/>
      </c>
      <c r="C257">
        <v>0</v>
      </c>
      <c r="D257" t="str">
        <v>[]</v>
      </c>
    </row>
    <row r="258">
      <c r="A258" t="str">
        <v>LBL-BPNCODG42G</v>
      </c>
      <c r="B258" t="str">
        <v/>
      </c>
      <c r="C258">
        <v>0</v>
      </c>
      <c r="D258" t="str">
        <v>[]</v>
      </c>
    </row>
    <row r="259">
      <c r="A259" t="str">
        <v>LBL-BPNCODG42G-HK</v>
      </c>
      <c r="B259" t="str">
        <v/>
      </c>
      <c r="C259">
        <v>0</v>
      </c>
      <c r="D259" t="str">
        <v>[]</v>
      </c>
    </row>
    <row r="260">
      <c r="A260" t="str">
        <v>LBL-BPNCODG42G-US</v>
      </c>
      <c r="B260" t="str">
        <v/>
      </c>
      <c r="C260">
        <v>0</v>
      </c>
      <c r="D260" t="str">
        <v>[]</v>
      </c>
    </row>
    <row r="261">
      <c r="A261" t="str">
        <v>LBL-BPNCOMF24G</v>
      </c>
      <c r="B261" t="str">
        <v/>
      </c>
      <c r="C261">
        <v>0</v>
      </c>
      <c r="D261" t="str">
        <v>[]</v>
      </c>
    </row>
    <row r="262">
      <c r="A262" t="str">
        <v>LBL-BPNCOMF24G_NS</v>
      </c>
      <c r="B262" t="str">
        <v/>
      </c>
      <c r="C262">
        <v>0</v>
      </c>
      <c r="D262" t="str">
        <v>[]</v>
      </c>
    </row>
    <row r="263">
      <c r="A263" t="str">
        <v>LBL-BPNCO-SI-MA20G</v>
      </c>
      <c r="B263" t="str">
        <v/>
      </c>
      <c r="C263">
        <v>0</v>
      </c>
      <c r="D263" t="str">
        <v>[]</v>
      </c>
    </row>
    <row r="264">
      <c r="A264" t="str">
        <v>LBL-BPNTGDG42G</v>
      </c>
      <c r="B264" t="str">
        <v/>
      </c>
      <c r="C264">
        <v>0</v>
      </c>
      <c r="D264" t="str">
        <v>[]</v>
      </c>
    </row>
    <row r="265">
      <c r="A265" t="str">
        <v>LBL-BPNTGDG42G-HK</v>
      </c>
      <c r="B265" t="str">
        <v/>
      </c>
      <c r="C265">
        <v>0</v>
      </c>
      <c r="D265" t="str">
        <v>[]</v>
      </c>
    </row>
    <row r="266">
      <c r="A266" t="str">
        <v>LBL-BPNTGDG42G-US</v>
      </c>
      <c r="B266" t="str">
        <v/>
      </c>
      <c r="C266">
        <v>0</v>
      </c>
      <c r="D266" t="str">
        <v>[]</v>
      </c>
    </row>
    <row r="267">
      <c r="A267" t="str">
        <v>LBL-BPNTGMF24G</v>
      </c>
      <c r="B267" t="str">
        <v/>
      </c>
      <c r="C267">
        <v>0</v>
      </c>
      <c r="D267" t="str">
        <v>[]</v>
      </c>
    </row>
    <row r="268">
      <c r="A268" t="str">
        <v>LBL-BPNTGMF24G_NS</v>
      </c>
      <c r="B268" t="str">
        <v/>
      </c>
      <c r="C268">
        <v>0</v>
      </c>
      <c r="D268" t="str">
        <v>[]</v>
      </c>
    </row>
    <row r="269">
      <c r="A269" t="str">
        <v>LBL-BPNWWCCDG42G</v>
      </c>
      <c r="B269" t="str">
        <v/>
      </c>
      <c r="C269">
        <v>0</v>
      </c>
      <c r="D269" t="str">
        <v>[]</v>
      </c>
    </row>
    <row r="270">
      <c r="A270" t="str">
        <v>LBL-BPNWWWCCMF24</v>
      </c>
      <c r="B270" t="str">
        <v/>
      </c>
      <c r="C270">
        <v>0</v>
      </c>
      <c r="D270" t="str">
        <v>[]</v>
      </c>
    </row>
    <row r="271">
      <c r="A271" t="str">
        <v>LBL-BPNWWCCMF24_NS</v>
      </c>
      <c r="B271" t="str">
        <v/>
      </c>
      <c r="C271">
        <v>0</v>
      </c>
      <c r="D271" t="str">
        <v>[]</v>
      </c>
    </row>
    <row r="272">
      <c r="A272" t="str">
        <v>LBL-BPPHSFP17G</v>
      </c>
      <c r="B272" t="str">
        <v/>
      </c>
      <c r="C272">
        <v>0</v>
      </c>
      <c r="D272" t="str">
        <v>[]</v>
      </c>
    </row>
    <row r="273">
      <c r="A273" t="str">
        <v>LBL-BPPHSVP34G</v>
      </c>
      <c r="B273" t="str">
        <v/>
      </c>
      <c r="C273">
        <v>0</v>
      </c>
      <c r="D273" t="str">
        <v>[]</v>
      </c>
    </row>
    <row r="274">
      <c r="A274" t="str">
        <v>LBL-BPPHSVP34G_NS</v>
      </c>
      <c r="B274" t="str">
        <v/>
      </c>
      <c r="C274">
        <v>0</v>
      </c>
      <c r="D274" t="str">
        <v>[]</v>
      </c>
    </row>
    <row r="275">
      <c r="A275" t="str">
        <v>LBL-BPPVFP17G</v>
      </c>
      <c r="B275" t="str">
        <v/>
      </c>
      <c r="C275">
        <v>0</v>
      </c>
      <c r="D275" t="str">
        <v>[]</v>
      </c>
    </row>
    <row r="276">
      <c r="A276" t="str">
        <v>LBL-BPPVVP34G</v>
      </c>
      <c r="B276" t="str">
        <v/>
      </c>
      <c r="C276">
        <v>0</v>
      </c>
      <c r="D276" t="str">
        <v>[]</v>
      </c>
    </row>
    <row r="277">
      <c r="A277" t="str">
        <v>LBL-BPPVVP34G_NS</v>
      </c>
      <c r="B277" t="str">
        <v/>
      </c>
      <c r="C277">
        <v>0</v>
      </c>
      <c r="D277" t="str">
        <v>[]</v>
      </c>
    </row>
    <row r="278">
      <c r="A278" t="str">
        <v>LBL-CCLCFLR30G</v>
      </c>
      <c r="B278" t="str">
        <v/>
      </c>
      <c r="C278">
        <v>0</v>
      </c>
      <c r="D278" t="str">
        <v>[]</v>
      </c>
    </row>
    <row r="279">
      <c r="A279" t="str">
        <v>LBL-CFTL22G</v>
      </c>
      <c r="B279" t="str">
        <v/>
      </c>
      <c r="C279">
        <v>0</v>
      </c>
      <c r="D279" t="str">
        <v>[]</v>
      </c>
    </row>
    <row r="280">
      <c r="A280" t="str">
        <v>LBL-CHCLBLB23G</v>
      </c>
      <c r="B280" t="str">
        <v/>
      </c>
      <c r="C280">
        <v>0</v>
      </c>
      <c r="D280" t="str">
        <v>[]</v>
      </c>
    </row>
    <row r="281">
      <c r="A281" t="str">
        <v>LBL-CHCLBLB23G-ND</v>
      </c>
      <c r="B281" t="str">
        <v/>
      </c>
      <c r="C281">
        <v>0</v>
      </c>
      <c r="D281" t="str">
        <v>[]</v>
      </c>
    </row>
    <row r="282">
      <c r="A282" t="str">
        <v>LBL-CHCLBLB23G_NS</v>
      </c>
      <c r="B282" t="str">
        <v/>
      </c>
      <c r="C282">
        <v>0</v>
      </c>
      <c r="D282" t="str">
        <v>[]</v>
      </c>
    </row>
    <row r="283">
      <c r="A283" t="str">
        <v>LBL-CHPLLS30G</v>
      </c>
      <c r="B283" t="str">
        <v/>
      </c>
      <c r="C283">
        <v>0</v>
      </c>
      <c r="D283" t="str">
        <v>[]</v>
      </c>
    </row>
    <row r="284">
      <c r="A284" t="str">
        <v>LBL-CHPLLS30G_NS</v>
      </c>
      <c r="B284" t="str">
        <v/>
      </c>
      <c r="C284">
        <v>0</v>
      </c>
      <c r="D284" t="str">
        <v>[]</v>
      </c>
    </row>
    <row r="285">
      <c r="A285" t="str">
        <v>LBL-OBCCH-L</v>
      </c>
      <c r="B285" t="str">
        <v/>
      </c>
      <c r="C285">
        <v>0</v>
      </c>
      <c r="D285" t="str">
        <v>[]</v>
      </c>
    </row>
    <row r="286">
      <c r="A286" t="str">
        <v>LBL-OCKTL22G</v>
      </c>
      <c r="B286" t="str">
        <v/>
      </c>
      <c r="C286">
        <v>0</v>
      </c>
      <c r="D286" t="str">
        <v>[]</v>
      </c>
    </row>
    <row r="287">
      <c r="A287" t="str">
        <v>LBL-OCKTL22G_NS</v>
      </c>
      <c r="B287" t="str">
        <v/>
      </c>
      <c r="C287">
        <v>0</v>
      </c>
      <c r="D287" t="str">
        <v>[]</v>
      </c>
    </row>
    <row r="288">
      <c r="A288" t="str">
        <v>LBL-OZSSL26G</v>
      </c>
      <c r="B288" t="str">
        <v/>
      </c>
      <c r="C288">
        <v>0</v>
      </c>
      <c r="D288" t="str">
        <v>[]</v>
      </c>
    </row>
    <row r="289">
      <c r="A289" t="str">
        <v>LBL-OZYSL26G</v>
      </c>
      <c r="B289" t="str">
        <v/>
      </c>
      <c r="C289">
        <v>0</v>
      </c>
      <c r="D289" t="str">
        <v>[]</v>
      </c>
    </row>
    <row r="290">
      <c r="A290" t="str">
        <v>LBL-CHPL-SI-HA20G</v>
      </c>
      <c r="B290" t="str">
        <v/>
      </c>
      <c r="C290">
        <v>0</v>
      </c>
      <c r="D290" t="str">
        <v>[]</v>
      </c>
    </row>
    <row r="291">
      <c r="A291" t="str">
        <v>LBL-CHPL-SIHA20_NS</v>
      </c>
      <c r="B291" t="str">
        <v/>
      </c>
      <c r="C291">
        <v>0</v>
      </c>
      <c r="D291" t="str">
        <v>[]</v>
      </c>
    </row>
    <row r="292">
      <c r="A292" t="str">
        <v>LBL-COCL22G</v>
      </c>
      <c r="B292" t="str">
        <v/>
      </c>
      <c r="C292">
        <v>0</v>
      </c>
      <c r="D292" t="str">
        <v>[]</v>
      </c>
    </row>
    <row r="293">
      <c r="A293" t="str">
        <v>LBL-COCL22G-ND</v>
      </c>
      <c r="B293" t="str">
        <v/>
      </c>
      <c r="C293">
        <v>0</v>
      </c>
      <c r="D293" t="str">
        <v>[]</v>
      </c>
    </row>
    <row r="294">
      <c r="A294" t="str">
        <v>LBL-COCL22G_NS</v>
      </c>
      <c r="B294" t="str">
        <v>2×48 | 7</v>
      </c>
      <c r="C294">
        <f>2*48 + 7</f>
      </c>
      <c r="D294" t="str">
        <v>["OLD temp specs 01-24-2026","FIRST OUT temp specs 01-24-2026"]</v>
      </c>
    </row>
    <row r="295">
      <c r="A295" t="str">
        <v>LBL-COL22G</v>
      </c>
      <c r="B295" t="str">
        <v/>
      </c>
      <c r="C295">
        <v>0</v>
      </c>
      <c r="D295" t="str">
        <v>[]</v>
      </c>
    </row>
    <row r="296">
      <c r="A296" t="str">
        <v>LBL-COL22G-ND</v>
      </c>
      <c r="B296" t="str">
        <v/>
      </c>
      <c r="C296">
        <v>0</v>
      </c>
      <c r="D296" t="str">
        <v>[]</v>
      </c>
    </row>
    <row r="297">
      <c r="A297" t="str">
        <v>LBL-COL22G_NS</v>
      </c>
      <c r="B297" t="str">
        <v/>
      </c>
      <c r="C297">
        <v>0</v>
      </c>
      <c r="D297" t="str">
        <v>[]</v>
      </c>
    </row>
    <row r="298">
      <c r="A298" t="str">
        <v>LBL-CPLWHA24G</v>
      </c>
      <c r="B298" t="str">
        <v/>
      </c>
      <c r="C298">
        <v>0</v>
      </c>
      <c r="D298" t="str">
        <v>[]</v>
      </c>
    </row>
    <row r="299">
      <c r="A299" t="str">
        <v>LBL-CPLWHA24G_NS</v>
      </c>
      <c r="B299" t="str">
        <v/>
      </c>
      <c r="C299">
        <v>0</v>
      </c>
      <c r="D299" t="str">
        <v>[]</v>
      </c>
    </row>
    <row r="300">
      <c r="A300" t="str">
        <v>LBL-CPLWLS38G-H</v>
      </c>
      <c r="B300" t="str">
        <v/>
      </c>
      <c r="C300">
        <v>0</v>
      </c>
      <c r="D300" t="str">
        <v>[]</v>
      </c>
    </row>
    <row r="301">
      <c r="A301" t="str">
        <v>LBL-CPLWLS38G-H_NS</v>
      </c>
      <c r="B301" t="str">
        <v/>
      </c>
      <c r="C301">
        <v>0</v>
      </c>
      <c r="D301" t="str">
        <v>[]</v>
      </c>
    </row>
    <row r="302">
      <c r="A302" t="str">
        <v>LBL-OBCBQ-L24G</v>
      </c>
      <c r="B302" t="str">
        <v/>
      </c>
      <c r="C302">
        <v>0</v>
      </c>
      <c r="D302" t="str">
        <v>[]</v>
      </c>
    </row>
    <row r="303">
      <c r="A303" t="str">
        <v>LBL-CPLWPA150G-H</v>
      </c>
      <c r="B303" t="str">
        <v/>
      </c>
      <c r="C303">
        <v>0</v>
      </c>
      <c r="D303" t="str">
        <v>[]</v>
      </c>
    </row>
    <row r="304">
      <c r="A304" t="str">
        <v>LBL-CPLWPA150G-EXP</v>
      </c>
      <c r="B304" t="str">
        <v/>
      </c>
      <c r="C304">
        <v>0</v>
      </c>
      <c r="D304" t="str">
        <v>[]</v>
      </c>
    </row>
    <row r="305">
      <c r="A305" t="str">
        <v>LBL-CPLWPA150GHVTM</v>
      </c>
      <c r="B305" t="str">
        <v/>
      </c>
      <c r="C305">
        <v>0</v>
      </c>
      <c r="D305" t="str">
        <v>[]</v>
      </c>
    </row>
    <row r="306">
      <c r="A306" t="str">
        <v>LBL-CRC-LS34G</v>
      </c>
      <c r="B306" t="str">
        <v/>
      </c>
      <c r="C306">
        <v>0</v>
      </c>
      <c r="D306" t="str">
        <v>[]</v>
      </c>
    </row>
    <row r="307">
      <c r="A307" t="str">
        <v>LBL-CRPL24G</v>
      </c>
      <c r="B307" t="str">
        <v/>
      </c>
      <c r="C307">
        <v>0</v>
      </c>
      <c r="D307" t="str">
        <v>[]</v>
      </c>
    </row>
    <row r="308">
      <c r="A308" t="str">
        <v>LBL-CRPL24G_NS</v>
      </c>
      <c r="B308" t="str">
        <v/>
      </c>
      <c r="C308">
        <v>0</v>
      </c>
      <c r="D308" t="str">
        <v>[]</v>
      </c>
    </row>
    <row r="309">
      <c r="A309" t="str">
        <v>LBL-CRPL24G-ND</v>
      </c>
      <c r="B309" t="str">
        <v/>
      </c>
      <c r="C309">
        <v>0</v>
      </c>
      <c r="D309" t="str">
        <v>[]</v>
      </c>
    </row>
    <row r="310">
      <c r="A310" t="str">
        <v>LBL-CRPCHFA60G</v>
      </c>
      <c r="B310" t="str">
        <v>7×27 | 10</v>
      </c>
      <c r="C310">
        <f>7*27 + 10</f>
      </c>
      <c r="D310" t="str">
        <v>["OLD 12-19-2025","OLD 12-19-2025"]</v>
      </c>
    </row>
    <row r="311">
      <c r="A311" t="str">
        <v>LBL-CRPFA60G</v>
      </c>
      <c r="B311" t="str">
        <v/>
      </c>
      <c r="C311">
        <v>0</v>
      </c>
      <c r="D311" t="str">
        <v>[]</v>
      </c>
    </row>
    <row r="312">
      <c r="A312" t="str">
        <v>LBL-CRPUA90G</v>
      </c>
      <c r="B312" t="str">
        <v/>
      </c>
      <c r="C312">
        <v>0</v>
      </c>
      <c r="D312" t="str">
        <v>[]</v>
      </c>
    </row>
    <row r="313">
      <c r="A313" t="str">
        <v>LBL-CRPUA85G</v>
      </c>
      <c r="B313" t="str">
        <v/>
      </c>
      <c r="C313">
        <v>0</v>
      </c>
      <c r="D313" t="str">
        <v>[]</v>
      </c>
    </row>
    <row r="314">
      <c r="A314" t="str">
        <v>LBL-CRPUA85G-800</v>
      </c>
      <c r="B314" t="str">
        <v/>
      </c>
      <c r="C314">
        <v>0</v>
      </c>
      <c r="D314" t="str">
        <v>[]</v>
      </c>
    </row>
    <row r="315">
      <c r="A315" t="str">
        <v>LBL-CRPUA85G8_NS</v>
      </c>
      <c r="B315" t="str">
        <v>27×18 | 8 l 6</v>
      </c>
      <c r="C315">
        <f>27*18 + 8+6</f>
      </c>
      <c r="D315" t="str">
        <v>["FIRST OUT 02-15-2026","FIRST OUT 02-15-2026","FIRST OUT 02-15-2026"]</v>
      </c>
    </row>
    <row r="316">
      <c r="A316" t="str">
        <v>LBL-CRPXS5G</v>
      </c>
      <c r="B316" t="str">
        <v/>
      </c>
      <c r="C316">
        <v>0</v>
      </c>
      <c r="D316" t="str">
        <v>[]</v>
      </c>
    </row>
    <row r="317">
      <c r="A317" t="str">
        <v>LBL-CRPCHL24G</v>
      </c>
      <c r="B317" t="str">
        <v/>
      </c>
      <c r="C317">
        <v>0</v>
      </c>
      <c r="D317" t="str">
        <v>[]</v>
      </c>
    </row>
    <row r="318">
      <c r="A318" t="str">
        <v>LBL-CRPCHUA85G</v>
      </c>
      <c r="B318" t="str">
        <v/>
      </c>
      <c r="C318">
        <v>0</v>
      </c>
      <c r="D318" t="str">
        <v>[]</v>
      </c>
    </row>
    <row r="319">
      <c r="A319" t="str">
        <v>LBL-CRPXS5G-EXP</v>
      </c>
      <c r="B319" t="str">
        <v/>
      </c>
      <c r="C319">
        <v>0</v>
      </c>
      <c r="D319" t="str">
        <v>[]</v>
      </c>
    </row>
    <row r="320">
      <c r="A320" t="str">
        <v>LBL-CRZBQL24G</v>
      </c>
      <c r="B320" t="str">
        <v/>
      </c>
      <c r="C320">
        <v>0</v>
      </c>
      <c r="D320" t="str">
        <v>[]</v>
      </c>
    </row>
    <row r="321">
      <c r="A321" t="str">
        <v>LBL-COCUA70G</v>
      </c>
      <c r="B321" t="str">
        <v>3×18 | 9</v>
      </c>
      <c r="C321">
        <f>3*18 + 9</f>
      </c>
      <c r="D321" t="str">
        <v>["approved 09-08-2025","first out 09-08-2025"]</v>
      </c>
    </row>
    <row r="322">
      <c r="A322" t="str">
        <v>LBL-EHOPCF60G</v>
      </c>
      <c r="B322" t="str">
        <v/>
      </c>
      <c r="C322">
        <v>0</v>
      </c>
      <c r="D322" t="str">
        <v>[]</v>
      </c>
    </row>
    <row r="323">
      <c r="A323" t="str">
        <v>LBL-EHOPCF60G_NS</v>
      </c>
      <c r="B323" t="str">
        <v>3×36 | 4</v>
      </c>
      <c r="C323">
        <f>3*36 + 4</f>
      </c>
      <c r="D323" t="str">
        <v>["OLD 01-13-2026","OLD 01-13-2026"]</v>
      </c>
    </row>
    <row r="324">
      <c r="A324" t="str">
        <v>LBL-EHOPCL24G</v>
      </c>
      <c r="B324" t="str">
        <v/>
      </c>
      <c r="C324">
        <v>0</v>
      </c>
      <c r="D324" t="str">
        <v>[]</v>
      </c>
    </row>
    <row r="325">
      <c r="A325" t="str">
        <v>LBL-EHOPCL24G-ND</v>
      </c>
      <c r="B325" t="str">
        <v/>
      </c>
      <c r="C325">
        <v>0</v>
      </c>
      <c r="D325" t="str">
        <v>[]</v>
      </c>
    </row>
    <row r="326">
      <c r="A326" t="str">
        <v>LBL-EHOPCL24G_NS</v>
      </c>
      <c r="B326" t="str">
        <v>6×48 | 40</v>
      </c>
      <c r="C326">
        <f>6*48 + 40</f>
      </c>
      <c r="D326" t="str">
        <v>["OLD 01-17-2026","OLD 01-17-2026"]</v>
      </c>
    </row>
    <row r="327">
      <c r="A327" t="str">
        <v>LBL-EHOPC-UA95G</v>
      </c>
      <c r="B327" t="str">
        <v/>
      </c>
      <c r="C327">
        <v>0</v>
      </c>
      <c r="D327" t="str">
        <v>[]</v>
      </c>
    </row>
    <row r="328">
      <c r="A328" t="str">
        <v>LBL-EHOPC-UA90G</v>
      </c>
      <c r="B328" t="str">
        <v/>
      </c>
      <c r="C328">
        <v>0</v>
      </c>
      <c r="D328" t="str">
        <v>[]</v>
      </c>
    </row>
    <row r="329">
      <c r="A329" t="str">
        <v>LBL-EHOPCUA90G-800</v>
      </c>
      <c r="B329" t="str">
        <v/>
      </c>
      <c r="C329">
        <v>0</v>
      </c>
      <c r="D329" t="str">
        <v>[]</v>
      </c>
    </row>
    <row r="330">
      <c r="A330" t="str">
        <v>LBL-EHOPCUA90G8_NS</v>
      </c>
      <c r="B330" t="str">
        <v/>
      </c>
      <c r="C330">
        <v>0</v>
      </c>
      <c r="D330" t="str">
        <v>[]</v>
      </c>
    </row>
    <row r="331">
      <c r="A331" t="str">
        <v>LBL-FM470X500</v>
      </c>
      <c r="B331" t="str">
        <v/>
      </c>
      <c r="C331">
        <v>0</v>
      </c>
      <c r="D331" t="str">
        <v>[]</v>
      </c>
    </row>
    <row r="332">
      <c r="A332" t="str">
        <v>LBL-FRTRL22G</v>
      </c>
      <c r="B332" t="str">
        <v/>
      </c>
      <c r="C332">
        <v>0</v>
      </c>
      <c r="D332" t="str">
        <v>[]</v>
      </c>
    </row>
    <row r="333">
      <c r="A333" t="str">
        <v>LBL-GCHCC90G</v>
      </c>
      <c r="B333" t="str">
        <v/>
      </c>
      <c r="C333">
        <v>0</v>
      </c>
      <c r="D333" t="str">
        <v>[]</v>
      </c>
    </row>
    <row r="334">
      <c r="A334" t="str">
        <v>LBL-GCHCC90G_NS</v>
      </c>
      <c r="B334" t="str">
        <v/>
      </c>
      <c r="C334">
        <v>0</v>
      </c>
      <c r="D334" t="str">
        <v>[]</v>
      </c>
    </row>
    <row r="335">
      <c r="A335" t="str">
        <v>LBL-GCHCRL22G</v>
      </c>
      <c r="B335" t="str">
        <v/>
      </c>
      <c r="C335">
        <v>0</v>
      </c>
      <c r="D335" t="str">
        <v>[]</v>
      </c>
    </row>
    <row r="336">
      <c r="A336" t="str">
        <v>LBL-GCHCRL22G_NS</v>
      </c>
      <c r="B336" t="str">
        <v/>
      </c>
      <c r="C336">
        <v>0</v>
      </c>
      <c r="D336" t="str">
        <v>[]</v>
      </c>
    </row>
    <row r="337">
      <c r="A337" t="str">
        <v>LBL-GCHCXB5G-H</v>
      </c>
      <c r="B337" t="str">
        <v/>
      </c>
      <c r="C337">
        <v>0</v>
      </c>
      <c r="D337" t="str">
        <v>[]</v>
      </c>
    </row>
    <row r="338">
      <c r="A338" t="str">
        <v>LBL-GCHCXB5G-EXP</v>
      </c>
      <c r="B338" t="str">
        <v/>
      </c>
      <c r="C338">
        <v>0</v>
      </c>
      <c r="D338" t="str">
        <v>[]</v>
      </c>
    </row>
    <row r="339">
      <c r="A339" t="str">
        <v>LBL-GNA-NT1-30G</v>
      </c>
      <c r="B339" t="str">
        <v/>
      </c>
      <c r="C339">
        <v>0</v>
      </c>
      <c r="D339" t="str">
        <v>[]</v>
      </c>
    </row>
    <row r="340">
      <c r="A340" t="str">
        <v>LBL-GNA-NT1-30G_NS</v>
      </c>
      <c r="B340" t="str">
        <v/>
      </c>
      <c r="C340">
        <v>0</v>
      </c>
      <c r="D340" t="str">
        <v>[]</v>
      </c>
    </row>
    <row r="341">
      <c r="A341" t="str">
        <v>LBL-GNC-NT1-30G</v>
      </c>
      <c r="B341" t="str">
        <v/>
      </c>
      <c r="C341">
        <v>0</v>
      </c>
      <c r="D341" t="str">
        <v>[]</v>
      </c>
    </row>
    <row r="342">
      <c r="A342" t="str">
        <v>LBL-GNC-NT1-30G_NS</v>
      </c>
      <c r="B342" t="str">
        <v/>
      </c>
      <c r="C342">
        <v>0</v>
      </c>
      <c r="D342" t="str">
        <v>[]</v>
      </c>
    </row>
    <row r="343">
      <c r="A343" t="str">
        <v>LBL-GNM-NT1-30G</v>
      </c>
      <c r="B343" t="str">
        <v/>
      </c>
      <c r="C343">
        <v>0</v>
      </c>
      <c r="D343" t="str">
        <v>[]</v>
      </c>
    </row>
    <row r="344">
      <c r="A344" t="str">
        <v>LBL-GNNC-NT1-30G</v>
      </c>
      <c r="B344" t="str">
        <v/>
      </c>
      <c r="C344">
        <v>0</v>
      </c>
      <c r="D344" t="str">
        <v>[]</v>
      </c>
    </row>
    <row r="345">
      <c r="A345" t="str">
        <v>LBL-GNNCNT1-30G_NS</v>
      </c>
      <c r="B345" t="str">
        <v/>
      </c>
      <c r="C345">
        <v>0</v>
      </c>
      <c r="D345" t="str">
        <v>[]</v>
      </c>
    </row>
    <row r="346">
      <c r="A346" t="str">
        <v>LBL-GNP-NT2-45G</v>
      </c>
      <c r="B346" t="str">
        <v/>
      </c>
      <c r="C346">
        <v>0</v>
      </c>
      <c r="D346" t="str">
        <v>[]</v>
      </c>
    </row>
    <row r="347">
      <c r="A347" t="str">
        <v>LBL-GNPSS-NT3-180G</v>
      </c>
      <c r="B347" t="str">
        <v/>
      </c>
      <c r="C347">
        <v>0</v>
      </c>
      <c r="D347" t="str">
        <v>[]</v>
      </c>
    </row>
    <row r="348">
      <c r="A348" t="str">
        <v>LBL-HCCFGA180G</v>
      </c>
      <c r="B348" t="str">
        <v/>
      </c>
      <c r="C348">
        <v>0</v>
      </c>
      <c r="D348" t="str">
        <v>[]</v>
      </c>
    </row>
    <row r="349">
      <c r="A349" t="str">
        <v>LBL-HCCFLKGA180G</v>
      </c>
      <c r="B349" t="str">
        <v/>
      </c>
      <c r="C349">
        <v>0</v>
      </c>
      <c r="D349" t="str">
        <v>[]</v>
      </c>
    </row>
    <row r="350">
      <c r="A350" t="str">
        <v>LBL-HCFRGA180G</v>
      </c>
      <c r="B350" t="str">
        <v/>
      </c>
      <c r="C350">
        <v>0</v>
      </c>
      <c r="D350" t="str">
        <v>[]</v>
      </c>
    </row>
    <row r="351">
      <c r="A351" t="str">
        <v>LBL-HCHCGA180G</v>
      </c>
      <c r="B351" t="str">
        <v/>
      </c>
      <c r="C351">
        <v>0</v>
      </c>
      <c r="D351" t="str">
        <v>[]</v>
      </c>
    </row>
    <row r="352">
      <c r="A352" t="str">
        <v>LBL-HEXCHMF28G</v>
      </c>
      <c r="B352" t="str">
        <v/>
      </c>
      <c r="C352">
        <v>0</v>
      </c>
      <c r="D352" t="str">
        <v>[]</v>
      </c>
    </row>
    <row r="353">
      <c r="A353" t="str">
        <v>LBL-HEXOMF28G</v>
      </c>
      <c r="B353" t="str">
        <v/>
      </c>
      <c r="C353">
        <v>0</v>
      </c>
      <c r="D353" t="str">
        <v>[]</v>
      </c>
    </row>
    <row r="354">
      <c r="A354" t="str">
        <v>LBL-HI-CHOC-SI-C22</v>
      </c>
      <c r="B354" t="str">
        <v/>
      </c>
      <c r="C354">
        <v>0</v>
      </c>
      <c r="D354" t="str">
        <v>[]</v>
      </c>
    </row>
    <row r="355">
      <c r="A355" t="str">
        <v>LBL-HICHOCSIC22CPP</v>
      </c>
      <c r="B355" t="str">
        <v/>
      </c>
      <c r="C355">
        <v>0</v>
      </c>
      <c r="D355" t="str">
        <v>[]</v>
      </c>
    </row>
    <row r="356">
      <c r="A356" t="str">
        <v>LBL-HI-DCCM-SI-C22</v>
      </c>
      <c r="B356" t="str">
        <v/>
      </c>
      <c r="C356">
        <v>0</v>
      </c>
      <c r="D356" t="str">
        <v>[]</v>
      </c>
    </row>
    <row r="357">
      <c r="A357" t="str">
        <v>LBL-HI-ORIG-SI-B20</v>
      </c>
      <c r="B357" t="str">
        <v/>
      </c>
      <c r="C357">
        <v>0</v>
      </c>
      <c r="D357" t="str">
        <v>[]</v>
      </c>
    </row>
    <row r="358">
      <c r="A358" t="str">
        <v>LBL-HIORIGSIH10G</v>
      </c>
      <c r="B358" t="str">
        <v/>
      </c>
      <c r="C358">
        <v>0</v>
      </c>
      <c r="D358" t="str">
        <v>[]</v>
      </c>
    </row>
    <row r="359">
      <c r="A359" t="str">
        <v>LBL-HIORIGSIB20CPP</v>
      </c>
      <c r="B359" t="str">
        <v/>
      </c>
      <c r="C359">
        <v>0</v>
      </c>
      <c r="D359" t="str">
        <v>[]</v>
      </c>
    </row>
    <row r="360">
      <c r="A360" t="str">
        <v>LBL-HI-VACA-SI-C22</v>
      </c>
      <c r="B360" t="str">
        <v/>
      </c>
      <c r="C360">
        <v>0</v>
      </c>
      <c r="D360" t="str">
        <v>[]</v>
      </c>
    </row>
    <row r="361">
      <c r="A361" t="str">
        <v>LBL-KRPCL18G</v>
      </c>
      <c r="B361" t="str">
        <v/>
      </c>
      <c r="C361">
        <v>0</v>
      </c>
      <c r="D361" t="str">
        <v>[]</v>
      </c>
    </row>
    <row r="362">
      <c r="A362" t="str">
        <v>LBL-KRPCL18G_NS</v>
      </c>
      <c r="B362" t="str">
        <v/>
      </c>
      <c r="C362">
        <v>0</v>
      </c>
      <c r="D362" t="str">
        <v>[]</v>
      </c>
    </row>
    <row r="363">
      <c r="A363" t="str">
        <v>LBL-KYFL20G-ND</v>
      </c>
      <c r="B363" t="str">
        <v/>
      </c>
      <c r="C363">
        <v>0</v>
      </c>
      <c r="D363" t="str">
        <v>[]</v>
      </c>
    </row>
    <row r="364">
      <c r="A364" t="str">
        <v>LBL-KYFL20G_NS</v>
      </c>
      <c r="B364" t="str">
        <v>48 | 6 | 16</v>
      </c>
      <c r="C364">
        <f>48 + 6 + 16</f>
      </c>
      <c r="D364" t="str">
        <v>["OLD 02-09-2026","OLD 02-09-2026","approved 02-18-2026"]</v>
      </c>
    </row>
    <row r="365">
      <c r="A365" t="str">
        <v>LBL-SKYFL20G</v>
      </c>
      <c r="B365" t="str">
        <v/>
      </c>
      <c r="C365">
        <v>0</v>
      </c>
      <c r="D365" t="str">
        <v>[]</v>
      </c>
    </row>
    <row r="366">
      <c r="A366" t="str">
        <v>LBL-SKYFL20G_NS</v>
      </c>
      <c r="B366" t="str">
        <v>43</v>
      </c>
      <c r="C366">
        <f>43</f>
      </c>
      <c r="D366" t="str">
        <v>["OLD 01-23-2026"]</v>
      </c>
    </row>
    <row r="367">
      <c r="A367" t="str">
        <v>LBL-KYFF45G-H</v>
      </c>
      <c r="B367" t="str">
        <v/>
      </c>
      <c r="C367">
        <v>0</v>
      </c>
      <c r="D367" t="str">
        <v>[]</v>
      </c>
    </row>
    <row r="368">
      <c r="A368" t="str">
        <v>LBL-KYFF45GH_NS</v>
      </c>
      <c r="B368" t="str">
        <v>14</v>
      </c>
      <c r="C368">
        <f>14</f>
      </c>
      <c r="D368" t="str">
        <v>["OLD 01-15-2026"]</v>
      </c>
    </row>
    <row r="369">
      <c r="A369" t="str">
        <v>LBL-KYFF45G-EXP</v>
      </c>
      <c r="B369" t="str">
        <v/>
      </c>
      <c r="C369">
        <v>0</v>
      </c>
      <c r="D369" t="str">
        <v>[]</v>
      </c>
    </row>
    <row r="370">
      <c r="A370" t="str">
        <v>LBL-KYFF45GEX_NS</v>
      </c>
      <c r="B370" t="str">
        <v/>
      </c>
      <c r="C370">
        <v>0</v>
      </c>
      <c r="D370" t="str">
        <v>[]</v>
      </c>
    </row>
    <row r="371">
      <c r="A371" t="str">
        <v>LBL-KYFUA60G-H</v>
      </c>
      <c r="B371" t="str">
        <v/>
      </c>
      <c r="C371">
        <v>0</v>
      </c>
      <c r="D371" t="str">
        <v>[]</v>
      </c>
    </row>
    <row r="372">
      <c r="A372" t="str">
        <v>LBL-KYFUA60G-800</v>
      </c>
      <c r="B372" t="str">
        <v/>
      </c>
      <c r="C372">
        <v>0</v>
      </c>
      <c r="D372" t="str">
        <v>[]</v>
      </c>
    </row>
    <row r="373">
      <c r="A373" t="str">
        <v>LBL-KYFUA60G8_NS</v>
      </c>
      <c r="B373" t="str">
        <v>3×18 | 20</v>
      </c>
      <c r="C373">
        <f>3*18 + 20</f>
      </c>
      <c r="D373" t="str">
        <v>["OLD 02-09-2026","OLD 02-09-2026"]</v>
      </c>
    </row>
    <row r="374">
      <c r="A374" t="str">
        <v>LBL-KYFUA60G-EXP</v>
      </c>
      <c r="B374" t="str">
        <v/>
      </c>
      <c r="C374">
        <v>0</v>
      </c>
      <c r="D374" t="str">
        <v>[]</v>
      </c>
    </row>
    <row r="375">
      <c r="A375" t="str">
        <v>LBL-KYFUA60G-8EXP</v>
      </c>
      <c r="B375" t="str">
        <v/>
      </c>
      <c r="C375">
        <v>0</v>
      </c>
      <c r="D375" t="str">
        <v>[]</v>
      </c>
    </row>
    <row r="376">
      <c r="A376" t="str">
        <v>LBL-KYFUA60G8E_NS</v>
      </c>
      <c r="B376" t="str">
        <v/>
      </c>
      <c r="C376">
        <v>0</v>
      </c>
      <c r="D376" t="str">
        <v>[]</v>
      </c>
    </row>
    <row r="377">
      <c r="A377" t="str">
        <v>LBL-KYFXS5G-EXP-H</v>
      </c>
      <c r="B377" t="str">
        <v/>
      </c>
      <c r="C377">
        <v>0</v>
      </c>
      <c r="D377" t="str">
        <v>[]</v>
      </c>
    </row>
    <row r="378">
      <c r="A378" t="str">
        <v>LBL-KYFXS5G-EXP_NS</v>
      </c>
      <c r="B378" t="str">
        <v>96 l 16 l 24</v>
      </c>
      <c r="C378">
        <f>96+16+24</f>
      </c>
      <c r="D378" t="str">
        <v>["","",""]</v>
      </c>
    </row>
    <row r="379">
      <c r="A379" t="str">
        <v>LBL-KYFXS5G-H</v>
      </c>
      <c r="B379" t="str">
        <v/>
      </c>
      <c r="C379">
        <v>0</v>
      </c>
      <c r="D379" t="str">
        <v>[]</v>
      </c>
    </row>
    <row r="380">
      <c r="A380" t="str">
        <v>LBL-KYFXS5G-M</v>
      </c>
      <c r="B380" t="str">
        <v/>
      </c>
      <c r="C380">
        <v>0</v>
      </c>
      <c r="D380" t="str">
        <v>[]</v>
      </c>
    </row>
    <row r="381">
      <c r="A381" t="str">
        <v>LBL-MBSTL35G</v>
      </c>
      <c r="B381" t="str">
        <v/>
      </c>
      <c r="C381">
        <v>0</v>
      </c>
      <c r="D381" t="str">
        <v>[]</v>
      </c>
    </row>
    <row r="382">
      <c r="A382" t="str">
        <v>LBL-MBSUA90G</v>
      </c>
      <c r="B382" t="str">
        <v/>
      </c>
      <c r="C382">
        <v>0</v>
      </c>
      <c r="D382" t="str">
        <v>[]</v>
      </c>
    </row>
    <row r="383">
      <c r="A383" t="str">
        <v>LBL-MBSUA90G-800</v>
      </c>
      <c r="B383" t="str">
        <v/>
      </c>
      <c r="C383">
        <v>0</v>
      </c>
      <c r="D383" t="str">
        <v>[]</v>
      </c>
    </row>
    <row r="384">
      <c r="A384" t="str">
        <v>LBL-MBSUA90G8_NS</v>
      </c>
      <c r="B384" t="str">
        <v/>
      </c>
      <c r="C384">
        <v>0</v>
      </c>
      <c r="D384" t="str">
        <v>[]</v>
      </c>
    </row>
    <row r="385">
      <c r="A385" t="str">
        <v>LBL-MCCILK26G</v>
      </c>
      <c r="B385" t="str">
        <v/>
      </c>
      <c r="C385">
        <v>0</v>
      </c>
      <c r="D385" t="str">
        <v>[]</v>
      </c>
    </row>
    <row r="386">
      <c r="A386" t="str">
        <v>LBL-MCCILK26G_NS</v>
      </c>
      <c r="B386" t="str">
        <v/>
      </c>
      <c r="C386">
        <v>0</v>
      </c>
      <c r="D386" t="str">
        <v>[]</v>
      </c>
    </row>
    <row r="387">
      <c r="A387" t="str">
        <v>LBL-MCCI-UA-90G</v>
      </c>
      <c r="B387" t="str">
        <v/>
      </c>
      <c r="C387">
        <v>0</v>
      </c>
      <c r="D387" t="str">
        <v>[]</v>
      </c>
    </row>
    <row r="388">
      <c r="A388" t="str">
        <v>LBL-MCCIUA90G-800</v>
      </c>
      <c r="B388" t="str">
        <v/>
      </c>
      <c r="C388">
        <v>0</v>
      </c>
      <c r="D388" t="str">
        <v>[]</v>
      </c>
    </row>
    <row r="389">
      <c r="A389" t="str">
        <v>LBL-MCCIUA90G8_NS</v>
      </c>
      <c r="B389" t="str">
        <v/>
      </c>
      <c r="C389">
        <v>0</v>
      </c>
      <c r="D389" t="str">
        <v>[]</v>
      </c>
    </row>
    <row r="390">
      <c r="A390" t="str">
        <v>LBL-MCPSLK26G</v>
      </c>
      <c r="B390" t="str">
        <v/>
      </c>
      <c r="C390">
        <v>0</v>
      </c>
      <c r="D390" t="str">
        <v>[]</v>
      </c>
    </row>
    <row r="391">
      <c r="A391" t="str">
        <v>LBL-MCPSLK26G_NS</v>
      </c>
      <c r="B391" t="str">
        <v/>
      </c>
      <c r="C391">
        <v>0</v>
      </c>
      <c r="D391" t="str">
        <v>[]</v>
      </c>
    </row>
    <row r="392">
      <c r="A392" t="str">
        <v>LBL-MCPSUA90G</v>
      </c>
      <c r="B392" t="str">
        <v/>
      </c>
      <c r="C392">
        <v>0</v>
      </c>
      <c r="D392" t="str">
        <v>[]</v>
      </c>
    </row>
    <row r="393">
      <c r="A393" t="str">
        <v>LBL-MCPSUA90G8_NS</v>
      </c>
      <c r="B393" t="str">
        <v/>
      </c>
      <c r="C393">
        <v>0</v>
      </c>
      <c r="D393" t="str">
        <v>[]</v>
      </c>
    </row>
    <row r="394">
      <c r="A394" t="str">
        <v>LBL-MCPSUA90GWB</v>
      </c>
      <c r="B394" t="str">
        <v/>
      </c>
      <c r="C394">
        <v>0</v>
      </c>
      <c r="D394" t="str">
        <v>[]</v>
      </c>
    </row>
    <row r="395">
      <c r="A395" t="str">
        <v>LBL-MCPSUA90G-800</v>
      </c>
      <c r="B395" t="str">
        <v/>
      </c>
      <c r="C395">
        <v>0</v>
      </c>
      <c r="D395" t="str">
        <v>[]</v>
      </c>
    </row>
    <row r="396">
      <c r="A396" t="str">
        <v>LBL-MCPSUA90G-8EXP</v>
      </c>
      <c r="B396" t="str">
        <v/>
      </c>
      <c r="C396">
        <v>0</v>
      </c>
      <c r="D396" t="str">
        <v>[]</v>
      </c>
    </row>
    <row r="397">
      <c r="A397" t="str">
        <v>LBL-MCPSUA90G8E_NS</v>
      </c>
      <c r="B397" t="str">
        <v/>
      </c>
      <c r="C397">
        <v>0</v>
      </c>
      <c r="D397" t="str">
        <v>[]</v>
      </c>
    </row>
    <row r="398">
      <c r="A398" t="str">
        <v>LBL-MCSVFLK26G</v>
      </c>
      <c r="B398" t="str">
        <v/>
      </c>
      <c r="C398">
        <v>0</v>
      </c>
      <c r="D398" t="str">
        <v>[]</v>
      </c>
    </row>
    <row r="399">
      <c r="A399" t="str">
        <v>LBL-MCSVFLK26G_NS</v>
      </c>
      <c r="B399" t="str">
        <v/>
      </c>
      <c r="C399">
        <v>0</v>
      </c>
      <c r="D399" t="str">
        <v>[]</v>
      </c>
    </row>
    <row r="400">
      <c r="A400" t="str">
        <v>LBL-MCSVFUA90G</v>
      </c>
      <c r="B400" t="str">
        <v/>
      </c>
      <c r="C400">
        <v>0</v>
      </c>
      <c r="D400" t="str">
        <v>[]</v>
      </c>
    </row>
    <row r="401">
      <c r="A401" t="str">
        <v>LBL-MCSVFUA90G-800</v>
      </c>
      <c r="B401" t="str">
        <v/>
      </c>
      <c r="C401">
        <v>0</v>
      </c>
      <c r="D401" t="str">
        <v>[]</v>
      </c>
    </row>
    <row r="402">
      <c r="A402" t="str">
        <v>LBL-MCSVFUA90G8_NS</v>
      </c>
      <c r="B402" t="str">
        <v/>
      </c>
      <c r="C402">
        <v>0</v>
      </c>
      <c r="D402" t="str">
        <v>[]</v>
      </c>
    </row>
    <row r="403">
      <c r="A403" t="str">
        <v>LBL-MCSVHLK26G-H</v>
      </c>
      <c r="B403" t="str">
        <v/>
      </c>
      <c r="C403">
        <v>0</v>
      </c>
      <c r="D403" t="str">
        <v>[]</v>
      </c>
    </row>
    <row r="404">
      <c r="A404" t="str">
        <v>LBL-MCSVHLK26GH_NS</v>
      </c>
      <c r="B404" t="str">
        <v/>
      </c>
      <c r="C404">
        <v>0</v>
      </c>
      <c r="D404" t="str">
        <v>[]</v>
      </c>
    </row>
    <row r="405">
      <c r="A405" t="str">
        <v>LBL-MCSVHRM12G</v>
      </c>
      <c r="B405" t="str">
        <v/>
      </c>
      <c r="C405">
        <v>0</v>
      </c>
      <c r="D405" t="str">
        <v>[]</v>
      </c>
    </row>
    <row r="406">
      <c r="A406" t="str">
        <v>LBL-MCSVLK26G</v>
      </c>
      <c r="B406" t="str">
        <v/>
      </c>
      <c r="C406">
        <v>0</v>
      </c>
      <c r="D406" t="str">
        <v>[]</v>
      </c>
    </row>
    <row r="407">
      <c r="A407" t="str">
        <v>LBL-MCSVLK26G_NS</v>
      </c>
      <c r="B407" t="str">
        <v/>
      </c>
      <c r="C407">
        <v>0</v>
      </c>
      <c r="D407" t="str">
        <v>[]</v>
      </c>
    </row>
    <row r="408">
      <c r="A408" t="str">
        <v>LBL-MCSVRM12G</v>
      </c>
      <c r="B408" t="str">
        <v/>
      </c>
      <c r="C408">
        <v>0</v>
      </c>
      <c r="D408" t="str">
        <v>[]</v>
      </c>
    </row>
    <row r="409">
      <c r="A409" t="str">
        <v>LBL-MCSVUA90G</v>
      </c>
      <c r="B409" t="str">
        <v/>
      </c>
      <c r="C409">
        <v>0</v>
      </c>
      <c r="D409" t="str">
        <v>[]</v>
      </c>
    </row>
    <row r="410">
      <c r="A410" t="str">
        <v>LBL-MCSVUA90G-800</v>
      </c>
      <c r="B410" t="str">
        <v/>
      </c>
      <c r="C410">
        <v>0</v>
      </c>
      <c r="D410" t="str">
        <v>[]</v>
      </c>
    </row>
    <row r="411">
      <c r="A411" t="str">
        <v>LBL-MCSVUA90G8_NS</v>
      </c>
      <c r="B411" t="str">
        <v/>
      </c>
      <c r="C411">
        <v>0</v>
      </c>
      <c r="D411" t="str">
        <v>[]</v>
      </c>
    </row>
    <row r="412">
      <c r="A412" t="str">
        <v>LBL-MCSVUA90G-EXP</v>
      </c>
      <c r="B412" t="str">
        <v/>
      </c>
      <c r="C412">
        <v>0</v>
      </c>
      <c r="D412" t="str">
        <v>[]</v>
      </c>
    </row>
    <row r="413">
      <c r="A413" t="str">
        <v>LBL-MCSVUA90G-8EXP</v>
      </c>
      <c r="B413" t="str">
        <v/>
      </c>
      <c r="C413">
        <v>0</v>
      </c>
      <c r="D413" t="str">
        <v>[]</v>
      </c>
    </row>
    <row r="414">
      <c r="A414" t="str">
        <v>LBL-MCSVUA90G8E_NS</v>
      </c>
      <c r="B414" t="str">
        <v/>
      </c>
      <c r="C414">
        <v>0</v>
      </c>
      <c r="D414" t="str">
        <v>[]</v>
      </c>
    </row>
    <row r="415">
      <c r="A415" t="str">
        <v>LBL-MIGCHL28G</v>
      </c>
      <c r="B415" t="str">
        <v/>
      </c>
      <c r="C415">
        <v>0</v>
      </c>
      <c r="D415" t="str">
        <v>[]</v>
      </c>
    </row>
    <row r="416">
      <c r="A416" t="str">
        <v>LBL-MIGCHL28G_NS</v>
      </c>
      <c r="B416" t="str">
        <v/>
      </c>
      <c r="C416">
        <v>0</v>
      </c>
      <c r="D416" t="str">
        <v>[]</v>
      </c>
    </row>
    <row r="417">
      <c r="A417" t="str">
        <v>LBL-MIGCHUA105G</v>
      </c>
      <c r="B417" t="str">
        <v>2×18 | 16</v>
      </c>
      <c r="C417">
        <f>2*18 + 16</f>
      </c>
      <c r="D417" t="str">
        <v>["OLD new text mod. 12-10-2025","OLD new text mod. 12-10-2025"]</v>
      </c>
    </row>
    <row r="418">
      <c r="A418" t="str">
        <v>LBL-MIGSWCL28G</v>
      </c>
      <c r="B418" t="str">
        <v/>
      </c>
      <c r="C418">
        <v>0</v>
      </c>
      <c r="D418" t="str">
        <v>[]</v>
      </c>
    </row>
    <row r="419">
      <c r="A419" t="str">
        <v>LBL-MIGSWCL28G_NS</v>
      </c>
      <c r="B419" t="str">
        <v>48 | 20</v>
      </c>
      <c r="C419">
        <f>48 + 20</f>
      </c>
      <c r="D419" t="str">
        <v>["OLD 01-17-2026","OLD 01-17-2026"]</v>
      </c>
    </row>
    <row r="420">
      <c r="A420" t="str">
        <v>LBL-MIGSWCUA105G</v>
      </c>
      <c r="B420" t="str">
        <v/>
      </c>
      <c r="C420">
        <v>0</v>
      </c>
      <c r="D420" t="str">
        <v>[]</v>
      </c>
    </row>
    <row r="421">
      <c r="A421" t="str">
        <v>LBL-MPCL18G</v>
      </c>
      <c r="B421" t="str">
        <v/>
      </c>
      <c r="C421">
        <v>0</v>
      </c>
      <c r="D421" t="str">
        <v>[]</v>
      </c>
    </row>
    <row r="422">
      <c r="A422" t="str">
        <v>LBL-MVC</v>
      </c>
      <c r="B422" t="str">
        <v/>
      </c>
      <c r="C422">
        <v>0</v>
      </c>
      <c r="D422" t="str">
        <v>[]</v>
      </c>
    </row>
    <row r="423">
      <c r="A423" t="str">
        <v>LBL-MVC-VN</v>
      </c>
      <c r="B423" t="str">
        <v/>
      </c>
      <c r="C423">
        <v>0</v>
      </c>
      <c r="D423" t="str">
        <v>[]</v>
      </c>
    </row>
    <row r="424">
      <c r="A424" t="str">
        <v>LBL-NPBQC-PFL60G</v>
      </c>
      <c r="B424" t="str">
        <v/>
      </c>
      <c r="C424">
        <v>0</v>
      </c>
      <c r="D424" t="str">
        <v>[]</v>
      </c>
    </row>
    <row r="425">
      <c r="A425" t="str">
        <v>LBL-NPBQC-TL22G</v>
      </c>
      <c r="B425" t="str">
        <v/>
      </c>
      <c r="C425">
        <v>0</v>
      </c>
      <c r="D425" t="str">
        <v>[]</v>
      </c>
    </row>
    <row r="426">
      <c r="A426" t="str">
        <v>LBL-NPCGKIMBA120-H</v>
      </c>
      <c r="B426" t="str">
        <v/>
      </c>
      <c r="C426">
        <v>0</v>
      </c>
      <c r="D426" t="str">
        <v>[]</v>
      </c>
    </row>
    <row r="427">
      <c r="A427" t="str">
        <v>LBL-NPCGKIMBA120-8</v>
      </c>
      <c r="B427" t="str">
        <v/>
      </c>
      <c r="C427">
        <v>0</v>
      </c>
      <c r="D427" t="str">
        <v>[]</v>
      </c>
    </row>
    <row r="428">
      <c r="A428" t="str">
        <v>LBL-NPCGKIMUB30G</v>
      </c>
      <c r="B428" t="str">
        <v/>
      </c>
      <c r="C428">
        <v>0</v>
      </c>
      <c r="D428" t="str">
        <v>[]</v>
      </c>
    </row>
    <row r="429">
      <c r="A429" t="str">
        <v>LBL-NPCGSE-PG60G</v>
      </c>
      <c r="B429" t="str">
        <v/>
      </c>
      <c r="C429">
        <v>0</v>
      </c>
      <c r="D429" t="str">
        <v>[]</v>
      </c>
    </row>
    <row r="430">
      <c r="A430" t="str">
        <v>LBL-NPCGSEPG60_NS</v>
      </c>
      <c r="B430" t="str">
        <v/>
      </c>
      <c r="C430">
        <v>0</v>
      </c>
      <c r="D430" t="str">
        <v>[]</v>
      </c>
    </row>
    <row r="431">
      <c r="A431" t="str">
        <v>LBL-NPCGSSTBA120-H</v>
      </c>
      <c r="B431" t="str">
        <v/>
      </c>
      <c r="C431">
        <v>0</v>
      </c>
      <c r="D431" t="str">
        <v>[]</v>
      </c>
    </row>
    <row r="432">
      <c r="A432" t="str">
        <v>LBL-NPCGSSTBA120-8</v>
      </c>
      <c r="B432" t="str">
        <v/>
      </c>
      <c r="C432">
        <v>0</v>
      </c>
      <c r="D432" t="str">
        <v>[]</v>
      </c>
    </row>
    <row r="433">
      <c r="A433" t="str">
        <v>LBL-NPCGSSTUB30G-H</v>
      </c>
      <c r="B433" t="str">
        <v/>
      </c>
      <c r="C433">
        <v>0</v>
      </c>
      <c r="D433" t="str">
        <v>[]</v>
      </c>
    </row>
    <row r="434">
      <c r="A434" t="str">
        <v>LBL-NPCGWNBA120-H</v>
      </c>
      <c r="B434" t="str">
        <v/>
      </c>
      <c r="C434">
        <v>0</v>
      </c>
      <c r="D434" t="str">
        <v>[]</v>
      </c>
    </row>
    <row r="435">
      <c r="A435" t="str">
        <v>LBL-NPCGWNBA120-8</v>
      </c>
      <c r="B435" t="str">
        <v/>
      </c>
      <c r="C435">
        <v>0</v>
      </c>
      <c r="D435" t="str">
        <v>[]</v>
      </c>
    </row>
    <row r="436">
      <c r="A436" t="str">
        <v>LBL-NPFRON-PFL60G</v>
      </c>
      <c r="B436" t="str">
        <v/>
      </c>
      <c r="C436">
        <v>0</v>
      </c>
      <c r="D436" t="str">
        <v>[]</v>
      </c>
    </row>
    <row r="437">
      <c r="A437" t="str">
        <v>LBL-NPFRONPFL60_NS</v>
      </c>
      <c r="B437" t="str">
        <v/>
      </c>
      <c r="C437">
        <v>0</v>
      </c>
      <c r="D437" t="str">
        <v>[]</v>
      </c>
    </row>
    <row r="438">
      <c r="A438" t="str">
        <v>LBL-NPFRONTL22G</v>
      </c>
      <c r="B438" t="str">
        <v/>
      </c>
      <c r="C438">
        <v>0</v>
      </c>
      <c r="D438" t="str">
        <v>[]</v>
      </c>
    </row>
    <row r="439">
      <c r="A439" t="str">
        <v>LBL-NPPSAA160G</v>
      </c>
      <c r="B439" t="str">
        <v/>
      </c>
      <c r="C439">
        <v>0</v>
      </c>
      <c r="D439" t="str">
        <v>[]</v>
      </c>
    </row>
    <row r="440">
      <c r="A440" t="str">
        <v>LBL-NPPSPFL60G</v>
      </c>
      <c r="B440" t="str">
        <v/>
      </c>
      <c r="C440">
        <v>0</v>
      </c>
      <c r="D440" t="str">
        <v>[]</v>
      </c>
    </row>
    <row r="441">
      <c r="A441" t="str">
        <v>LBL-NPPSPFL60_NS</v>
      </c>
      <c r="B441" t="str">
        <v/>
      </c>
      <c r="C441">
        <v>0</v>
      </c>
      <c r="D441" t="str">
        <v>[]</v>
      </c>
    </row>
    <row r="442">
      <c r="A442" t="str">
        <v>LBL-NPPSTL22G</v>
      </c>
      <c r="B442" t="str">
        <v/>
      </c>
      <c r="C442">
        <v>0</v>
      </c>
      <c r="D442" t="str">
        <v>[]</v>
      </c>
    </row>
    <row r="443">
      <c r="A443" t="str">
        <v>LBL-NPPSTL22G_NS</v>
      </c>
      <c r="B443" t="str">
        <v/>
      </c>
      <c r="C443">
        <v>0</v>
      </c>
      <c r="D443" t="str">
        <v>[]</v>
      </c>
    </row>
    <row r="444">
      <c r="A444" t="str">
        <v>LBL-NPRBQPFL60G</v>
      </c>
      <c r="B444" t="str">
        <v/>
      </c>
      <c r="C444">
        <v>0</v>
      </c>
      <c r="D444" t="str">
        <v>[]</v>
      </c>
    </row>
    <row r="445">
      <c r="A445" t="str">
        <v>LBL-NPRBQPFL60G_NS</v>
      </c>
      <c r="B445" t="str">
        <v/>
      </c>
      <c r="C445">
        <v>0</v>
      </c>
      <c r="D445" t="str">
        <v>[]</v>
      </c>
    </row>
    <row r="446">
      <c r="A446" t="str">
        <v>LBL-NPRBQTL22G</v>
      </c>
      <c r="B446" t="str">
        <v/>
      </c>
      <c r="C446">
        <v>0</v>
      </c>
      <c r="D446" t="str">
        <v>[]</v>
      </c>
    </row>
    <row r="447">
      <c r="A447" t="str">
        <v>LBL-NPRBQTL22G_NS</v>
      </c>
      <c r="B447" t="str">
        <v/>
      </c>
      <c r="C447">
        <v>0</v>
      </c>
      <c r="D447" t="str">
        <v>[]</v>
      </c>
    </row>
    <row r="448">
      <c r="A448" t="str">
        <v>LBL-NPRCGPFL60G</v>
      </c>
      <c r="B448" t="str">
        <v/>
      </c>
      <c r="C448">
        <v>0</v>
      </c>
      <c r="D448" t="str">
        <v>[]</v>
      </c>
    </row>
    <row r="449">
      <c r="A449" t="str">
        <v>LBL-NPRCGPFL60G_NS</v>
      </c>
      <c r="B449" t="str">
        <v/>
      </c>
      <c r="C449">
        <v>0</v>
      </c>
      <c r="D449" t="str">
        <v>[]</v>
      </c>
    </row>
    <row r="450">
      <c r="A450" t="str">
        <v>LBL-NPRCHPFL60G</v>
      </c>
      <c r="B450" t="str">
        <v/>
      </c>
      <c r="C450">
        <v>0</v>
      </c>
      <c r="D450" t="str">
        <v>[]</v>
      </c>
    </row>
    <row r="451">
      <c r="A451" t="str">
        <v>LBL-NPRCHPFL60G_NS</v>
      </c>
      <c r="B451" t="str">
        <v/>
      </c>
      <c r="C451">
        <v>0</v>
      </c>
      <c r="D451" t="str">
        <v>[]</v>
      </c>
    </row>
    <row r="452">
      <c r="A452" t="str">
        <v>LBL-NPRCHTL22G</v>
      </c>
      <c r="B452" t="str">
        <v/>
      </c>
      <c r="C452">
        <v>0</v>
      </c>
      <c r="D452" t="str">
        <v>[]</v>
      </c>
    </row>
    <row r="453">
      <c r="A453" t="str">
        <v>LBL-NPRCHTL22G_NS</v>
      </c>
      <c r="B453" t="str">
        <v/>
      </c>
      <c r="C453">
        <v>0</v>
      </c>
      <c r="D453" t="str">
        <v>[]</v>
      </c>
    </row>
    <row r="454">
      <c r="A454" t="str">
        <v>LBL-NPROGAA160G</v>
      </c>
      <c r="B454" t="str">
        <v/>
      </c>
      <c r="C454">
        <v>0</v>
      </c>
      <c r="D454" t="str">
        <v>[]</v>
      </c>
    </row>
    <row r="455">
      <c r="A455" t="str">
        <v>LBL-NPROGAA160G_NS</v>
      </c>
      <c r="B455" t="str">
        <v/>
      </c>
      <c r="C455">
        <v>0</v>
      </c>
      <c r="D455" t="str">
        <v>[]</v>
      </c>
    </row>
    <row r="456">
      <c r="A456" t="str">
        <v>LBL-NPROGPFL60G</v>
      </c>
      <c r="B456" t="str">
        <v/>
      </c>
      <c r="C456">
        <v>0</v>
      </c>
      <c r="D456" t="str">
        <v>[]</v>
      </c>
    </row>
    <row r="457">
      <c r="A457" t="str">
        <v>LBL-NPROGPFL60G_NS</v>
      </c>
      <c r="B457" t="str">
        <v/>
      </c>
      <c r="C457">
        <v>0</v>
      </c>
      <c r="D457" t="str">
        <v>[]</v>
      </c>
    </row>
    <row r="458">
      <c r="A458" t="str">
        <v>LBL-NPROGTL22G</v>
      </c>
      <c r="B458" t="str">
        <v/>
      </c>
      <c r="C458">
        <v>0</v>
      </c>
      <c r="D458" t="str">
        <v>[]</v>
      </c>
    </row>
    <row r="459">
      <c r="A459" t="str">
        <v>LBL-NPROGTL22G_NS</v>
      </c>
      <c r="B459" t="str">
        <v/>
      </c>
      <c r="C459">
        <v>0</v>
      </c>
      <c r="D459" t="str">
        <v>[]</v>
      </c>
    </row>
    <row r="460">
      <c r="A460" t="str">
        <v>LBL-NPRSBQ-PFL60G</v>
      </c>
      <c r="B460" t="str">
        <v/>
      </c>
      <c r="C460">
        <v>0</v>
      </c>
      <c r="D460" t="str">
        <v>[]</v>
      </c>
    </row>
    <row r="461">
      <c r="A461" t="str">
        <v>LBL-NPRSBQ-TL22G</v>
      </c>
      <c r="B461" t="str">
        <v/>
      </c>
      <c r="C461">
        <v>0</v>
      </c>
      <c r="D461" t="str">
        <v>[]</v>
      </c>
    </row>
    <row r="462">
      <c r="A462" t="str">
        <v>LBL-NPRWPFL60G</v>
      </c>
      <c r="B462" t="str">
        <v/>
      </c>
      <c r="C462">
        <v>0</v>
      </c>
      <c r="D462" t="str">
        <v>[]</v>
      </c>
    </row>
    <row r="463">
      <c r="A463" t="str">
        <v>LBL-NPSSPFL60G</v>
      </c>
      <c r="B463" t="str">
        <v/>
      </c>
      <c r="C463">
        <v>0</v>
      </c>
      <c r="D463" t="str">
        <v>[]</v>
      </c>
    </row>
    <row r="464">
      <c r="A464" t="str">
        <v>LBL-NPSSPFL60_NS</v>
      </c>
      <c r="B464" t="str">
        <v/>
      </c>
      <c r="C464">
        <v>0</v>
      </c>
      <c r="D464" t="str">
        <v>[]</v>
      </c>
    </row>
    <row r="465">
      <c r="A465" t="str">
        <v>LBL-NPSSTL22G</v>
      </c>
      <c r="B465" t="str">
        <v/>
      </c>
      <c r="C465">
        <v>0</v>
      </c>
      <c r="D465" t="str">
        <v>[]</v>
      </c>
    </row>
    <row r="466">
      <c r="A466" t="str">
        <v>LBL-NPTKC-PFL60G</v>
      </c>
      <c r="B466" t="str">
        <v/>
      </c>
      <c r="C466">
        <v>0</v>
      </c>
      <c r="D466" t="str">
        <v>[]</v>
      </c>
    </row>
    <row r="467">
      <c r="A467" t="str">
        <v>LBL-NPTKC-TL22G</v>
      </c>
      <c r="B467" t="str">
        <v/>
      </c>
      <c r="C467">
        <v>0</v>
      </c>
      <c r="D467" t="str">
        <v>[]</v>
      </c>
    </row>
    <row r="468">
      <c r="A468" t="str">
        <v>LBL-OCKCH-LA35G</v>
      </c>
      <c r="B468" t="str">
        <v/>
      </c>
      <c r="C468">
        <v>0</v>
      </c>
      <c r="D468" t="str">
        <v>[]</v>
      </c>
    </row>
    <row r="469">
      <c r="A469" t="str">
        <v>LBL-OCN-L24G</v>
      </c>
      <c r="B469" t="str">
        <v>48 l 36 l 17</v>
      </c>
      <c r="C469">
        <f>48+36+17</f>
      </c>
      <c r="D469" t="str">
        <v>["","",""]</v>
      </c>
    </row>
    <row r="470">
      <c r="A470" t="str">
        <v>LBL-ODOBLC26G</v>
      </c>
      <c r="B470" t="str">
        <v/>
      </c>
      <c r="C470">
        <v>0</v>
      </c>
      <c r="D470" t="str">
        <v>[]</v>
      </c>
    </row>
    <row r="471">
      <c r="A471" t="str">
        <v>LBL-OFCL24G</v>
      </c>
      <c r="B471" t="str">
        <v/>
      </c>
      <c r="C471">
        <v>0</v>
      </c>
      <c r="D471" t="str">
        <v>[]</v>
      </c>
    </row>
    <row r="472">
      <c r="A472" t="str">
        <v>LBL-OFCL24G-ND</v>
      </c>
      <c r="B472" t="str">
        <v/>
      </c>
      <c r="C472">
        <v>0</v>
      </c>
      <c r="D472" t="str">
        <v>[]</v>
      </c>
    </row>
    <row r="473">
      <c r="A473" t="str">
        <v>LBL-OFCL24G_NS</v>
      </c>
      <c r="B473" t="str">
        <v/>
      </c>
      <c r="C473">
        <v>0</v>
      </c>
      <c r="D473" t="str">
        <v>[]</v>
      </c>
    </row>
    <row r="474">
      <c r="A474" t="str">
        <v>LBL-OFC-UA90G</v>
      </c>
      <c r="B474" t="str">
        <v/>
      </c>
      <c r="C474">
        <v>0</v>
      </c>
      <c r="D474" t="str">
        <v>[]</v>
      </c>
    </row>
    <row r="475">
      <c r="A475" t="str">
        <v>LBL-OFCUA90G-800</v>
      </c>
      <c r="B475" t="str">
        <v/>
      </c>
      <c r="C475">
        <v>0</v>
      </c>
      <c r="D475" t="str">
        <v>[]</v>
      </c>
    </row>
    <row r="476">
      <c r="A476" t="str">
        <v>LBL-OFCUA90G8_NS</v>
      </c>
      <c r="B476" t="str">
        <v>2×18 | 10</v>
      </c>
      <c r="C476">
        <f>2*18 + 10</f>
      </c>
      <c r="D476" t="str">
        <v>["OLD 01-23-2026","OLD 01-23-2026"]</v>
      </c>
    </row>
    <row r="477">
      <c r="A477" t="str">
        <v>LBL-OFCXS5</v>
      </c>
      <c r="B477" t="str">
        <v/>
      </c>
      <c r="C477">
        <v>0</v>
      </c>
      <c r="D477" t="str">
        <v>[]</v>
      </c>
    </row>
    <row r="478">
      <c r="A478" t="str">
        <v>LBL-OFCXS5G-M</v>
      </c>
      <c r="B478" t="str">
        <v/>
      </c>
      <c r="C478">
        <v>0</v>
      </c>
      <c r="D478" t="str">
        <v>[]</v>
      </c>
    </row>
    <row r="479">
      <c r="A479" t="str">
        <v>LBL-OFCXS5G-EXP</v>
      </c>
      <c r="B479" t="str">
        <v>35</v>
      </c>
      <c r="C479">
        <f>35</f>
      </c>
      <c r="D479" t="str">
        <v>[""]</v>
      </c>
    </row>
    <row r="480">
      <c r="A480" t="str">
        <v>LBL-OFK-BA80G</v>
      </c>
      <c r="B480" t="str">
        <v/>
      </c>
      <c r="C480">
        <v>0</v>
      </c>
      <c r="D480" t="str">
        <v>[]</v>
      </c>
    </row>
    <row r="481">
      <c r="A481" t="str">
        <v>LBL-OFK-BA80G-EXP</v>
      </c>
      <c r="B481" t="str">
        <v/>
      </c>
      <c r="C481">
        <v>0</v>
      </c>
      <c r="D481" t="str">
        <v>[]</v>
      </c>
    </row>
    <row r="482">
      <c r="A482" t="str">
        <v>LBL-OFKBA80G-800</v>
      </c>
      <c r="B482" t="str">
        <v>8×18</v>
      </c>
      <c r="C482">
        <f>8*18</f>
      </c>
      <c r="D482" t="str">
        <v>["APPROVED 02-24-2026"]</v>
      </c>
    </row>
    <row r="483">
      <c r="A483" t="str">
        <v>LBL-OFKBA80G-8EXP</v>
      </c>
      <c r="B483" t="str">
        <v/>
      </c>
      <c r="C483">
        <v>0</v>
      </c>
      <c r="D483" t="str">
        <v>[]</v>
      </c>
    </row>
    <row r="484">
      <c r="A484" t="str">
        <v>LBL-OFKFF55G</v>
      </c>
      <c r="B484" t="str">
        <v>5×27 | 9 | 12 | 12</v>
      </c>
      <c r="C484">
        <f>5*27 + 9 + 12 + 12</f>
      </c>
      <c r="D484" t="str">
        <v>["approved","OLD","approved 12-18-2025","approved 12-18-2025"]</v>
      </c>
    </row>
    <row r="485">
      <c r="A485" t="str">
        <v>LBL-OFK-LF22G</v>
      </c>
      <c r="B485" t="str">
        <v/>
      </c>
      <c r="C485">
        <v>0</v>
      </c>
      <c r="D485" t="str">
        <v>[]</v>
      </c>
    </row>
    <row r="486">
      <c r="A486" t="str">
        <v>LBL-OFKLF22G_NS</v>
      </c>
      <c r="B486" t="str">
        <v>3×36 | 22</v>
      </c>
      <c r="C486">
        <f>3*36 + 22</f>
      </c>
      <c r="D486" t="str">
        <v>["OLD temp specs 01-29-2026","OLD temp specs 01-29-2026"]</v>
      </c>
    </row>
    <row r="487">
      <c r="A487" t="str">
        <v>LBL-OLCCLT38G</v>
      </c>
      <c r="B487" t="str">
        <v/>
      </c>
      <c r="C487">
        <v>0</v>
      </c>
      <c r="D487" t="str">
        <v>[]</v>
      </c>
    </row>
    <row r="488">
      <c r="A488" t="str">
        <v>LBL-OLCCLT38G_NS</v>
      </c>
      <c r="B488" t="str">
        <v/>
      </c>
      <c r="C488">
        <v>0</v>
      </c>
      <c r="D488" t="str">
        <v>[]</v>
      </c>
    </row>
    <row r="489">
      <c r="A489" t="str">
        <v>LBL-OMGBQ-SI-JA75G</v>
      </c>
      <c r="B489" t="str">
        <v/>
      </c>
      <c r="C489">
        <v>0</v>
      </c>
      <c r="D489" t="str">
        <v>[]</v>
      </c>
    </row>
    <row r="490">
      <c r="A490" t="str">
        <v>LBL-OMGBQ-SIJA_NS</v>
      </c>
      <c r="B490" t="str">
        <v/>
      </c>
      <c r="C490">
        <v>0</v>
      </c>
      <c r="D490" t="str">
        <v>[]</v>
      </c>
    </row>
    <row r="491">
      <c r="A491" t="str">
        <v>LBL-OMGBQRL20G</v>
      </c>
      <c r="B491" t="str">
        <v/>
      </c>
      <c r="C491">
        <v>0</v>
      </c>
      <c r="D491" t="str">
        <v>[]</v>
      </c>
    </row>
    <row r="492">
      <c r="A492" t="str">
        <v>LBL-OMGBQRL20G-SGP</v>
      </c>
      <c r="B492" t="str">
        <v/>
      </c>
      <c r="C492">
        <v>0</v>
      </c>
      <c r="D492" t="str">
        <v>[]</v>
      </c>
    </row>
    <row r="493">
      <c r="A493" t="str">
        <v>LBL-OMGBQTL40G</v>
      </c>
      <c r="B493" t="str">
        <v/>
      </c>
      <c r="C493">
        <v>0</v>
      </c>
      <c r="D493" t="str">
        <v>[]</v>
      </c>
    </row>
    <row r="494">
      <c r="A494" t="str">
        <v>LBL-OMGBQTL40G-SGP</v>
      </c>
      <c r="B494" t="str">
        <v/>
      </c>
      <c r="C494">
        <v>0</v>
      </c>
      <c r="D494" t="str">
        <v>[]</v>
      </c>
    </row>
    <row r="495">
      <c r="A495" t="str">
        <v>LBL-OMGCL28G</v>
      </c>
      <c r="B495" t="str">
        <v/>
      </c>
      <c r="C495">
        <v>0</v>
      </c>
      <c r="D495" t="str">
        <v>[]</v>
      </c>
    </row>
    <row r="496">
      <c r="A496" t="str">
        <v>LBL-OMGCL28G_NS</v>
      </c>
      <c r="B496" t="str">
        <v/>
      </c>
      <c r="C496">
        <v>0</v>
      </c>
      <c r="D496" t="str">
        <v>[]</v>
      </c>
    </row>
    <row r="497">
      <c r="A497" t="str">
        <v>LBL-OMGCCM65G</v>
      </c>
      <c r="B497" t="str">
        <v/>
      </c>
      <c r="C497">
        <v>0</v>
      </c>
      <c r="D497" t="str">
        <v>[]</v>
      </c>
    </row>
    <row r="498">
      <c r="A498" t="str">
        <v>LBL-OMGCUG100G</v>
      </c>
      <c r="B498" t="str">
        <v/>
      </c>
      <c r="C498">
        <v>0</v>
      </c>
      <c r="D498" t="str">
        <v>[]</v>
      </c>
    </row>
    <row r="499">
      <c r="A499" t="str">
        <v>LBL-OMGCRL20G</v>
      </c>
      <c r="B499" t="str">
        <v/>
      </c>
      <c r="C499">
        <v>0</v>
      </c>
      <c r="D499" t="str">
        <v>[]</v>
      </c>
    </row>
    <row r="500">
      <c r="A500" t="str">
        <v>LBL-OMGCRL20G-SGP</v>
      </c>
      <c r="B500" t="str">
        <v/>
      </c>
      <c r="C500">
        <v>0</v>
      </c>
      <c r="D500" t="str">
        <v>[]</v>
      </c>
    </row>
    <row r="501">
      <c r="A501" t="str">
        <v>LBL-OMGC-SI-JA75G</v>
      </c>
      <c r="B501" t="str">
        <v/>
      </c>
      <c r="C501">
        <v>0</v>
      </c>
      <c r="D501" t="str">
        <v>[]</v>
      </c>
    </row>
    <row r="502">
      <c r="A502" t="str">
        <v>LBL-OMGC-SIJA_NS</v>
      </c>
      <c r="B502" t="str">
        <v/>
      </c>
      <c r="C502">
        <v>0</v>
      </c>
      <c r="D502" t="str">
        <v>[]</v>
      </c>
    </row>
    <row r="503">
      <c r="A503" t="str">
        <v>LBL-OMGCTL40G</v>
      </c>
      <c r="B503" t="str">
        <v/>
      </c>
      <c r="C503">
        <v>0</v>
      </c>
      <c r="D503" t="str">
        <v>[]</v>
      </c>
    </row>
    <row r="504">
      <c r="A504" t="str">
        <v>LBL-OMGFORL20G</v>
      </c>
      <c r="B504" t="str">
        <v/>
      </c>
      <c r="C504">
        <v>0</v>
      </c>
      <c r="D504" t="str">
        <v>[]</v>
      </c>
    </row>
    <row r="505">
      <c r="A505" t="str">
        <v>LBL-OMGFORL20G-SGP</v>
      </c>
      <c r="B505" t="str">
        <v/>
      </c>
      <c r="C505">
        <v>0</v>
      </c>
      <c r="D505" t="str">
        <v>[]</v>
      </c>
    </row>
    <row r="506">
      <c r="A506" t="str">
        <v>LBL-OMGFOTL40G-H</v>
      </c>
      <c r="B506" t="str">
        <v/>
      </c>
      <c r="C506">
        <v>0</v>
      </c>
      <c r="D506" t="str">
        <v>[]</v>
      </c>
    </row>
    <row r="507">
      <c r="A507" t="str">
        <v>LBL-OMGFOTL40G-SGP</v>
      </c>
      <c r="B507" t="str">
        <v/>
      </c>
      <c r="C507">
        <v>0</v>
      </c>
      <c r="D507" t="str">
        <v>[]</v>
      </c>
    </row>
    <row r="508">
      <c r="A508" t="str">
        <v>LBL-OMGSWD-SI-SG</v>
      </c>
      <c r="B508" t="str">
        <v/>
      </c>
      <c r="C508">
        <v>0</v>
      </c>
      <c r="D508" t="str">
        <v>[]</v>
      </c>
    </row>
    <row r="509">
      <c r="A509" t="str">
        <v>LBL-OMGSWTL40G-SGP</v>
      </c>
      <c r="B509" t="str">
        <v/>
      </c>
      <c r="C509">
        <v>0</v>
      </c>
      <c r="D509" t="str">
        <v>[]</v>
      </c>
    </row>
    <row r="510">
      <c r="A510" t="str">
        <v>LBL-OORL16G</v>
      </c>
      <c r="B510" t="str">
        <v/>
      </c>
      <c r="C510">
        <v>0</v>
      </c>
      <c r="D510" t="str">
        <v>[]</v>
      </c>
    </row>
    <row r="511">
      <c r="A511" t="str">
        <v>LBL-OORL16G-ND</v>
      </c>
      <c r="B511" t="str">
        <v/>
      </c>
      <c r="C511">
        <v>0</v>
      </c>
      <c r="D511" t="str">
        <v>[]</v>
      </c>
    </row>
    <row r="512">
      <c r="A512" t="str">
        <v>LBL-OORL16G_NS</v>
      </c>
      <c r="B512" t="str">
        <v/>
      </c>
      <c r="C512">
        <v>0</v>
      </c>
      <c r="D512" t="str">
        <v>[]</v>
      </c>
    </row>
    <row r="513">
      <c r="A513" t="str">
        <v>LBL-OORUA75G</v>
      </c>
      <c r="B513" t="str">
        <v>8×18 | 16</v>
      </c>
      <c r="C513">
        <f>8*18 + 16</f>
      </c>
      <c r="D513" t="str">
        <v>["OLD 01-19-2026","OLD 01-19-2026"]</v>
      </c>
    </row>
    <row r="514">
      <c r="A514" t="str">
        <v>LBL-PBWCH-LS30G</v>
      </c>
      <c r="B514" t="str">
        <v/>
      </c>
      <c r="C514">
        <v>0</v>
      </c>
      <c r="D514" t="str">
        <v>[]</v>
      </c>
    </row>
    <row r="515">
      <c r="A515" t="str">
        <v>LBL-PBCHO-LS30G</v>
      </c>
      <c r="B515" t="str">
        <v/>
      </c>
      <c r="C515">
        <v>0</v>
      </c>
      <c r="D515" t="str">
        <v>[]</v>
      </c>
    </row>
    <row r="516">
      <c r="A516" t="str">
        <v>LBL-OOR-SI-L20G</v>
      </c>
      <c r="B516" t="str">
        <v/>
      </c>
      <c r="C516">
        <v>0</v>
      </c>
      <c r="D516" t="str">
        <v>[]</v>
      </c>
    </row>
    <row r="517">
      <c r="A517" t="str">
        <v>LBL-OORXS5G-EXP-H</v>
      </c>
      <c r="B517" t="str">
        <v/>
      </c>
      <c r="C517">
        <v>0</v>
      </c>
      <c r="D517" t="str">
        <v>[]</v>
      </c>
    </row>
    <row r="518">
      <c r="A518" t="str">
        <v>LBL-OORXS5G-EXP_NS</v>
      </c>
      <c r="B518" t="str">
        <v/>
      </c>
      <c r="C518">
        <v>0</v>
      </c>
      <c r="D518" t="str">
        <v>[]</v>
      </c>
    </row>
    <row r="519">
      <c r="A519" t="str">
        <v>LBL-OORXS5G-E_NS</v>
      </c>
      <c r="B519" t="str">
        <v>6×96 | 91 | 34</v>
      </c>
      <c r="C519">
        <f>6*96 + 91 + 34</f>
      </c>
      <c r="D519" t="str">
        <v>["OLD 12-11-2025","OLD 12-11-2025","FIRST OUT 12-11-2025"]</v>
      </c>
    </row>
    <row r="520">
      <c r="A520" t="str">
        <v>LBL-OORXS5G-H</v>
      </c>
      <c r="B520" t="str">
        <v/>
      </c>
      <c r="C520">
        <v>0</v>
      </c>
      <c r="D520" t="str">
        <v>[]</v>
      </c>
    </row>
    <row r="521">
      <c r="A521" t="str">
        <v>LBL-OPCF60G-EXP-H</v>
      </c>
      <c r="B521" t="str">
        <v/>
      </c>
      <c r="C521">
        <v>0</v>
      </c>
      <c r="D521" t="str">
        <v>[]</v>
      </c>
    </row>
    <row r="522">
      <c r="A522" t="str">
        <v>LBL-OPCF60GEXH_NS</v>
      </c>
      <c r="B522" t="str">
        <v/>
      </c>
      <c r="C522">
        <v>0</v>
      </c>
      <c r="D522" t="str">
        <v>[]</v>
      </c>
    </row>
    <row r="523">
      <c r="A523" t="str">
        <v>LBL-OPCF60GE_UNI</v>
      </c>
      <c r="B523" t="str">
        <v/>
      </c>
      <c r="C523">
        <v>0</v>
      </c>
      <c r="D523" t="str">
        <v>[]</v>
      </c>
    </row>
    <row r="524">
      <c r="A524" t="str">
        <v>LBL-OPCF60G-H</v>
      </c>
      <c r="B524" t="str">
        <v/>
      </c>
      <c r="C524">
        <v>0</v>
      </c>
      <c r="D524" t="str">
        <v>[]</v>
      </c>
    </row>
    <row r="525">
      <c r="A525" t="str">
        <v>LBL-OPCF60GH_NS</v>
      </c>
      <c r="B525" t="str">
        <v>5×36 | 29</v>
      </c>
      <c r="C525">
        <f>5*36 + 29</f>
      </c>
      <c r="D525" t="str">
        <v>["OLD 01-27-2026","OLD 01-27-2026"]</v>
      </c>
    </row>
    <row r="526">
      <c r="A526" t="str">
        <v>LBL-OPCL24G</v>
      </c>
      <c r="B526" t="str">
        <v/>
      </c>
      <c r="C526">
        <v>0</v>
      </c>
      <c r="D526" t="str">
        <v>[]</v>
      </c>
    </row>
    <row r="527">
      <c r="A527" t="str">
        <v>LBL-OPCL24G-ND</v>
      </c>
      <c r="B527" t="str">
        <v/>
      </c>
      <c r="C527">
        <v>0</v>
      </c>
      <c r="D527" t="str">
        <v>[]</v>
      </c>
    </row>
    <row r="528">
      <c r="A528" t="str">
        <v>LBL-OPCL24G_NS</v>
      </c>
      <c r="B528" t="str">
        <v/>
      </c>
      <c r="C528">
        <v>0</v>
      </c>
      <c r="D528" t="str">
        <v>[]</v>
      </c>
    </row>
    <row r="529">
      <c r="A529" t="str">
        <v>LBL-OPCUA95G</v>
      </c>
      <c r="B529" t="str">
        <v/>
      </c>
      <c r="C529">
        <v>0</v>
      </c>
      <c r="D529" t="str">
        <v>[]</v>
      </c>
    </row>
    <row r="530">
      <c r="A530" t="str">
        <v>LBL-OPCUA90G</v>
      </c>
      <c r="B530" t="str">
        <v/>
      </c>
      <c r="C530">
        <v>0</v>
      </c>
      <c r="D530" t="str">
        <v>[]</v>
      </c>
    </row>
    <row r="531">
      <c r="A531" t="str">
        <v>LBL-OPCUA90G-EXP</v>
      </c>
      <c r="B531" t="str">
        <v/>
      </c>
      <c r="C531">
        <v>0</v>
      </c>
      <c r="D531" t="str">
        <v>[]</v>
      </c>
    </row>
    <row r="532">
      <c r="A532" t="str">
        <v>LBL-OPCUA90G-800</v>
      </c>
      <c r="B532" t="str">
        <v/>
      </c>
      <c r="C532">
        <v>0</v>
      </c>
      <c r="D532" t="str">
        <v>[]</v>
      </c>
    </row>
    <row r="533">
      <c r="A533" t="str">
        <v>LBL-OPCUA90G-8_NS</v>
      </c>
      <c r="B533" t="str">
        <v/>
      </c>
      <c r="C533">
        <v>0</v>
      </c>
      <c r="D533" t="str">
        <v>[]</v>
      </c>
    </row>
    <row r="534">
      <c r="A534" t="str">
        <v>LBL-OPCUA90G-8EXP</v>
      </c>
      <c r="B534" t="str">
        <v/>
      </c>
      <c r="C534">
        <v>0</v>
      </c>
      <c r="D534" t="str">
        <v>[]</v>
      </c>
    </row>
    <row r="535">
      <c r="A535" t="str">
        <v>LBL-OPCUA90G8E_NS</v>
      </c>
      <c r="B535" t="str">
        <v/>
      </c>
      <c r="C535">
        <v>0</v>
      </c>
      <c r="D535" t="str">
        <v>[]</v>
      </c>
    </row>
    <row r="536">
      <c r="A536" t="str">
        <v>LBL-OPCUA90G8E_UNI</v>
      </c>
      <c r="B536" t="str">
        <v/>
      </c>
      <c r="C536">
        <v>0</v>
      </c>
      <c r="D536" t="str">
        <v>[]</v>
      </c>
    </row>
    <row r="537">
      <c r="A537" t="str">
        <v>LBL-OPCXS5G-EXP</v>
      </c>
      <c r="B537" t="str">
        <v/>
      </c>
      <c r="C537">
        <v>0</v>
      </c>
      <c r="D537" t="str">
        <v>[]</v>
      </c>
    </row>
    <row r="538">
      <c r="A538" t="str">
        <v>LBL-OPCXS5G-EXP_NS</v>
      </c>
      <c r="B538" t="str">
        <v>97</v>
      </c>
      <c r="C538">
        <f>97</f>
      </c>
      <c r="D538" t="str">
        <v>["first out"]</v>
      </c>
    </row>
    <row r="539">
      <c r="A539" t="str">
        <v>LBL-OPCXS5G-H</v>
      </c>
      <c r="B539" t="str">
        <v/>
      </c>
      <c r="C539">
        <v>0</v>
      </c>
      <c r="D539" t="str">
        <v>[]</v>
      </c>
    </row>
    <row r="540">
      <c r="A540" t="str">
        <v>LBL-OPCXS5G-M</v>
      </c>
      <c r="B540" t="str">
        <v/>
      </c>
      <c r="C540">
        <v>0</v>
      </c>
      <c r="D540" t="str">
        <v>[]</v>
      </c>
    </row>
    <row r="541">
      <c r="A541" t="str">
        <v>LBL-OPCSEPS60G</v>
      </c>
      <c r="B541" t="str">
        <v/>
      </c>
      <c r="C541">
        <v>0</v>
      </c>
      <c r="D541" t="str">
        <v>[]</v>
      </c>
    </row>
    <row r="542">
      <c r="A542" t="str">
        <v>LBL-OPCSEPS60G_NS</v>
      </c>
      <c r="B542" t="str">
        <v/>
      </c>
      <c r="C542">
        <v>0</v>
      </c>
      <c r="D542" t="str">
        <v>[]</v>
      </c>
    </row>
    <row r="543">
      <c r="A543" t="str">
        <v>LBL-OPFMMMIWA</v>
      </c>
      <c r="B543" t="str">
        <v/>
      </c>
      <c r="C543">
        <v>0</v>
      </c>
      <c r="D543" t="str">
        <v>[]</v>
      </c>
    </row>
    <row r="544">
      <c r="A544" t="str">
        <v>LBL-OPFMMMMM17G</v>
      </c>
      <c r="B544" t="str">
        <v/>
      </c>
      <c r="C544">
        <v>0</v>
      </c>
      <c r="D544" t="str">
        <v>[]</v>
      </c>
    </row>
    <row r="545">
      <c r="A545" t="str">
        <v>LBL-OPFCHOMMIWA</v>
      </c>
      <c r="B545" t="str">
        <v/>
      </c>
      <c r="C545">
        <v>0</v>
      </c>
      <c r="D545" t="str">
        <v>[]</v>
      </c>
    </row>
    <row r="546">
      <c r="A546" t="str">
        <v>LBL-OPFCHOMMMM17G</v>
      </c>
      <c r="B546" t="str">
        <v/>
      </c>
      <c r="C546">
        <v>0</v>
      </c>
      <c r="D546" t="str">
        <v>[]</v>
      </c>
    </row>
    <row r="547">
      <c r="A547" t="str">
        <v>LBL-OPFMTMMIWA</v>
      </c>
      <c r="B547" t="str">
        <v/>
      </c>
      <c r="C547">
        <v>0</v>
      </c>
      <c r="D547" t="str">
        <v>[]</v>
      </c>
    </row>
    <row r="548">
      <c r="A548" t="str">
        <v>LBL-OPFMMMIWA3.5G</v>
      </c>
      <c r="B548" t="str">
        <v/>
      </c>
      <c r="C548">
        <v>0</v>
      </c>
      <c r="D548" t="str">
        <v>[]</v>
      </c>
    </row>
    <row r="549">
      <c r="A549" t="str">
        <v>LBL-OPFCHOMMIWA3.5</v>
      </c>
      <c r="B549" t="str">
        <v/>
      </c>
      <c r="C549">
        <v>0</v>
      </c>
      <c r="D549" t="str">
        <v>[]</v>
      </c>
    </row>
    <row r="550">
      <c r="A550" t="str">
        <v>LBL-OPFMTMMIWA3.5G</v>
      </c>
      <c r="B550" t="str">
        <v/>
      </c>
      <c r="C550">
        <v>0</v>
      </c>
      <c r="D550" t="str">
        <v>[]</v>
      </c>
    </row>
    <row r="551">
      <c r="A551" t="str">
        <v>LBL-OPFCHOMMOWA84G</v>
      </c>
      <c r="B551" t="str">
        <v/>
      </c>
      <c r="C551">
        <v>0</v>
      </c>
      <c r="D551" t="str">
        <v>[]</v>
      </c>
    </row>
    <row r="552">
      <c r="A552" t="str">
        <v>LBL-OPFMMMOWA84G</v>
      </c>
      <c r="B552" t="str">
        <v/>
      </c>
      <c r="C552">
        <v>0</v>
      </c>
      <c r="D552" t="str">
        <v>[]</v>
      </c>
    </row>
    <row r="553">
      <c r="A553" t="str">
        <v>LBL-OPFMTMMOWA84G</v>
      </c>
      <c r="B553" t="str">
        <v/>
      </c>
      <c r="C553">
        <v>0</v>
      </c>
      <c r="D553" t="str">
        <v>[]</v>
      </c>
    </row>
    <row r="554">
      <c r="A554" t="str">
        <v>LBL-OPFUBMMIWA</v>
      </c>
      <c r="B554" t="str">
        <v/>
      </c>
      <c r="C554">
        <v>0</v>
      </c>
      <c r="D554" t="str">
        <v>[]</v>
      </c>
    </row>
    <row r="555">
      <c r="A555" t="str">
        <v>LBL-OPFUBMMOWA84G</v>
      </c>
      <c r="B555" t="str">
        <v/>
      </c>
      <c r="C555">
        <v>0</v>
      </c>
      <c r="D555" t="str">
        <v>[]</v>
      </c>
    </row>
    <row r="556">
      <c r="A556" t="str">
        <v>LBL-OPSSUA80G-800</v>
      </c>
      <c r="B556" t="str">
        <v/>
      </c>
      <c r="C556">
        <v>0</v>
      </c>
      <c r="D556" t="str">
        <v>[]</v>
      </c>
    </row>
    <row r="557">
      <c r="A557" t="str">
        <v>LBL-OPSSUA80G8_NS</v>
      </c>
      <c r="B557" t="str">
        <v>2×18 | 10 | 2×18</v>
      </c>
      <c r="C557">
        <f>2*18 + 10 + 2*18</f>
      </c>
      <c r="D557" t="str">
        <v>["OLD temp specs 01-29-2026","OLD temp specs 01-29-2026","OLD temp specs 01-29-2026"]</v>
      </c>
    </row>
    <row r="558">
      <c r="A558" t="str">
        <v>LBL-OSHKLK20G</v>
      </c>
      <c r="B558" t="str">
        <v>36 | 8</v>
      </c>
      <c r="C558">
        <f>36 + 8</f>
      </c>
      <c r="D558" t="str">
        <v>["first out","first out"]</v>
      </c>
    </row>
    <row r="559">
      <c r="A559" t="str">
        <v>LBL-OSHKUA65G</v>
      </c>
      <c r="B559" t="str">
        <v/>
      </c>
      <c r="C559">
        <v>0</v>
      </c>
      <c r="D559" t="str">
        <v>[]</v>
      </c>
    </row>
    <row r="560">
      <c r="A560" t="str">
        <v>LBL-OSHKBH65G</v>
      </c>
      <c r="B560" t="str">
        <v/>
      </c>
      <c r="C560">
        <v>0</v>
      </c>
      <c r="D560" t="str">
        <v>[]</v>
      </c>
    </row>
    <row r="561">
      <c r="A561" t="str">
        <v>LBL-OSHKBH65_NS</v>
      </c>
      <c r="B561" t="str">
        <v>18 | 20 | 13</v>
      </c>
      <c r="C561">
        <f>18 + 20 + 13</f>
      </c>
      <c r="D561" t="str">
        <v>["hold","hold","hold temp specs 01-28-2026"]</v>
      </c>
    </row>
    <row r="562">
      <c r="A562" t="str">
        <v>LBL-OSMEJBP180G</v>
      </c>
      <c r="B562" t="str">
        <v/>
      </c>
      <c r="C562">
        <v>0</v>
      </c>
      <c r="D562" t="str">
        <v>[]</v>
      </c>
    </row>
    <row r="563">
      <c r="A563" t="str">
        <v>LBL-OSMEJBP360G</v>
      </c>
      <c r="B563" t="str">
        <v/>
      </c>
      <c r="C563">
        <v>0</v>
      </c>
      <c r="D563" t="str">
        <v>[]</v>
      </c>
    </row>
    <row r="564">
      <c r="A564" t="str">
        <v>LBL-OSMEJTP35G</v>
      </c>
      <c r="B564" t="str">
        <v/>
      </c>
      <c r="C564">
        <v>0</v>
      </c>
      <c r="D564" t="str">
        <v>[]</v>
      </c>
    </row>
    <row r="565">
      <c r="A565" t="str">
        <v>LBL-OSMEJTP35G-CPP</v>
      </c>
      <c r="B565" t="str">
        <v/>
      </c>
      <c r="C565">
        <v>0</v>
      </c>
      <c r="D565" t="str">
        <v>[]</v>
      </c>
    </row>
    <row r="566">
      <c r="A566" t="str">
        <v>LBL-OSMEJTP360</v>
      </c>
      <c r="B566" t="str">
        <v/>
      </c>
      <c r="C566">
        <v>0</v>
      </c>
      <c r="D566" t="str">
        <v>[]</v>
      </c>
    </row>
    <row r="567">
      <c r="A567" t="str">
        <v>LBL-OSMJBP180G</v>
      </c>
      <c r="B567" t="str">
        <v/>
      </c>
      <c r="C567">
        <v>0</v>
      </c>
      <c r="D567" t="str">
        <v>[]</v>
      </c>
    </row>
    <row r="568">
      <c r="A568" t="str">
        <v>LBL-OSMJBP360G</v>
      </c>
      <c r="B568" t="str">
        <v/>
      </c>
      <c r="C568">
        <v>0</v>
      </c>
      <c r="D568" t="str">
        <v>[]</v>
      </c>
    </row>
    <row r="569">
      <c r="A569" t="str">
        <v>LBL-OSMJTP35</v>
      </c>
      <c r="B569" t="str">
        <v/>
      </c>
      <c r="C569">
        <v>0</v>
      </c>
      <c r="D569" t="str">
        <v>[]</v>
      </c>
    </row>
    <row r="570">
      <c r="A570" t="str">
        <v>LBL-OSMJTP35G-CPP</v>
      </c>
      <c r="B570" t="str">
        <v/>
      </c>
      <c r="C570">
        <v>0</v>
      </c>
      <c r="D570" t="str">
        <v>[]</v>
      </c>
    </row>
    <row r="571">
      <c r="A571" t="str">
        <v>LBL-OSOJTP35G</v>
      </c>
      <c r="B571" t="str">
        <v/>
      </c>
      <c r="C571">
        <v>0</v>
      </c>
      <c r="D571" t="str">
        <v>[]</v>
      </c>
    </row>
    <row r="572">
      <c r="A572" t="str">
        <v>LBL-OSOJTP35G-CPP</v>
      </c>
      <c r="B572" t="str">
        <v/>
      </c>
      <c r="C572">
        <v>0</v>
      </c>
      <c r="D572" t="str">
        <v>[]</v>
      </c>
    </row>
    <row r="573">
      <c r="A573" t="str">
        <v>LBL-OSOJ-BP180G</v>
      </c>
      <c r="B573" t="str">
        <v/>
      </c>
      <c r="C573">
        <v>0</v>
      </c>
      <c r="D573" t="str">
        <v>[]</v>
      </c>
    </row>
    <row r="574">
      <c r="A574" t="str">
        <v>LBL-OSOJ-BP360G</v>
      </c>
      <c r="B574" t="str">
        <v/>
      </c>
      <c r="C574">
        <v>0</v>
      </c>
      <c r="D574" t="str">
        <v>[]</v>
      </c>
    </row>
    <row r="575">
      <c r="A575" t="str">
        <v>LBL-OSOMJTP35G</v>
      </c>
      <c r="B575" t="str">
        <v/>
      </c>
      <c r="C575">
        <v>0</v>
      </c>
      <c r="D575" t="str">
        <v>[]</v>
      </c>
    </row>
    <row r="576">
      <c r="A576" t="str">
        <v>LBL-OSOMJTP35G-CPP</v>
      </c>
      <c r="B576" t="str">
        <v/>
      </c>
      <c r="C576">
        <v>0</v>
      </c>
      <c r="D576" t="str">
        <v>[]</v>
      </c>
    </row>
    <row r="577">
      <c r="A577" t="str">
        <v>LBL-OSPJTP35G</v>
      </c>
      <c r="B577" t="str">
        <v/>
      </c>
      <c r="C577">
        <v>0</v>
      </c>
      <c r="D577" t="str">
        <v>[]</v>
      </c>
    </row>
    <row r="578">
      <c r="A578" t="str">
        <v>LBL-OSPJTP35G-CPP</v>
      </c>
      <c r="B578" t="str">
        <v/>
      </c>
      <c r="C578">
        <v>0</v>
      </c>
      <c r="D578" t="str">
        <v>[]</v>
      </c>
    </row>
    <row r="579">
      <c r="A579" t="str">
        <v>LBL-OSPJ-BP360G</v>
      </c>
      <c r="B579" t="str">
        <v/>
      </c>
      <c r="C579">
        <v>0</v>
      </c>
      <c r="D579" t="str">
        <v>[]</v>
      </c>
    </row>
    <row r="580">
      <c r="A580" t="str">
        <v>LBL-OSPJ-BP180G</v>
      </c>
      <c r="B580" t="str">
        <v/>
      </c>
      <c r="C580">
        <v>0</v>
      </c>
      <c r="D580" t="str">
        <v>[]</v>
      </c>
    </row>
    <row r="581">
      <c r="A581" t="str">
        <v>LBL-OSS-L24G</v>
      </c>
      <c r="B581" t="str">
        <v/>
      </c>
      <c r="C581">
        <v>0</v>
      </c>
      <c r="D581" t="str">
        <v>[]</v>
      </c>
    </row>
    <row r="582">
      <c r="A582" t="str">
        <v>LBL-OWOWLB</v>
      </c>
      <c r="B582" t="str">
        <v/>
      </c>
      <c r="C582">
        <v>0</v>
      </c>
      <c r="D582" t="str">
        <v>[]</v>
      </c>
    </row>
    <row r="583">
      <c r="A583" t="str">
        <v>LBL-PCBCE50G</v>
      </c>
      <c r="B583" t="str">
        <v/>
      </c>
      <c r="C583">
        <v>0</v>
      </c>
      <c r="D583" t="str">
        <v>[]</v>
      </c>
    </row>
    <row r="584">
      <c r="A584" t="str">
        <v>LBL-PCBCE50G_NS</v>
      </c>
      <c r="B584" t="str">
        <v/>
      </c>
      <c r="C584">
        <v>0</v>
      </c>
      <c r="D584" t="str">
        <v>[]</v>
      </c>
    </row>
    <row r="585">
      <c r="A585" t="str">
        <v>LBL-PCBCRL18G</v>
      </c>
      <c r="B585" t="str">
        <v/>
      </c>
      <c r="C585">
        <v>0</v>
      </c>
      <c r="D585" t="str">
        <v>[]</v>
      </c>
    </row>
    <row r="586">
      <c r="A586" t="str">
        <v>LBL-PCBCRL18G_NS</v>
      </c>
      <c r="B586" t="str">
        <v/>
      </c>
      <c r="C586">
        <v>0</v>
      </c>
      <c r="D586" t="str">
        <v>[]</v>
      </c>
    </row>
    <row r="587">
      <c r="A587" t="str">
        <v>LBL-PCCBE50G</v>
      </c>
      <c r="B587" t="str">
        <v/>
      </c>
      <c r="C587">
        <v>0</v>
      </c>
      <c r="D587" t="str">
        <v>[]</v>
      </c>
    </row>
    <row r="588">
      <c r="A588" t="str">
        <v>LBL-PCCBE50G_NS</v>
      </c>
      <c r="B588" t="str">
        <v/>
      </c>
      <c r="C588">
        <v>0</v>
      </c>
      <c r="D588" t="str">
        <v>[]</v>
      </c>
    </row>
    <row r="589">
      <c r="A589" t="str">
        <v>LBL-PCCBRL18G</v>
      </c>
      <c r="B589" t="str">
        <v/>
      </c>
      <c r="C589">
        <v>0</v>
      </c>
      <c r="D589" t="str">
        <v>[]</v>
      </c>
    </row>
    <row r="590">
      <c r="A590" t="str">
        <v>LBL-PCCBRL18G_NS</v>
      </c>
      <c r="B590" t="str">
        <v/>
      </c>
      <c r="C590">
        <v>0</v>
      </c>
      <c r="D590" t="str">
        <v>[]</v>
      </c>
    </row>
    <row r="591">
      <c r="A591" t="str">
        <v>LBL-PCCGE50G</v>
      </c>
      <c r="B591" t="str">
        <v/>
      </c>
      <c r="C591">
        <v>0</v>
      </c>
      <c r="D591" t="str">
        <v>[]</v>
      </c>
    </row>
    <row r="592">
      <c r="A592" t="str">
        <v>LBL-PCCGE50G_NS</v>
      </c>
      <c r="B592" t="str">
        <v/>
      </c>
      <c r="C592">
        <v>0</v>
      </c>
      <c r="D592" t="str">
        <v>[]</v>
      </c>
    </row>
    <row r="593">
      <c r="A593" t="str">
        <v>LBL-PCCGRL18G</v>
      </c>
      <c r="B593" t="str">
        <v/>
      </c>
      <c r="C593">
        <v>0</v>
      </c>
      <c r="D593" t="str">
        <v>[]</v>
      </c>
    </row>
    <row r="594">
      <c r="A594" t="str">
        <v>LBL-PCCGRL18G_NS</v>
      </c>
      <c r="B594" t="str">
        <v/>
      </c>
      <c r="C594">
        <v>0</v>
      </c>
      <c r="D594" t="str">
        <v>[]</v>
      </c>
    </row>
    <row r="595">
      <c r="A595" t="str">
        <v>LBL-PCCHE50G</v>
      </c>
      <c r="B595" t="str">
        <v/>
      </c>
      <c r="C595">
        <v>0</v>
      </c>
      <c r="D595" t="str">
        <v>[]</v>
      </c>
    </row>
    <row r="596">
      <c r="A596" t="str">
        <v>LBL-PCCHE50G_NS</v>
      </c>
      <c r="B596" t="str">
        <v/>
      </c>
      <c r="C596">
        <v>0</v>
      </c>
      <c r="D596" t="str">
        <v>[]</v>
      </c>
    </row>
    <row r="597">
      <c r="A597" t="str">
        <v>LBL-PCCHRL18G</v>
      </c>
      <c r="B597" t="str">
        <v/>
      </c>
      <c r="C597">
        <v>0</v>
      </c>
      <c r="D597" t="str">
        <v>[]</v>
      </c>
    </row>
    <row r="598">
      <c r="A598" t="str">
        <v>LBL-PCCHRL18G_NS</v>
      </c>
      <c r="B598" t="str">
        <v/>
      </c>
      <c r="C598">
        <v>0</v>
      </c>
      <c r="D598" t="str">
        <v>[]</v>
      </c>
    </row>
    <row r="599">
      <c r="A599" t="str">
        <v>LBL-PCTKE50G</v>
      </c>
      <c r="B599" t="str">
        <v/>
      </c>
      <c r="C599">
        <v>0</v>
      </c>
      <c r="D599" t="str">
        <v>[]</v>
      </c>
    </row>
    <row r="600">
      <c r="A600" t="str">
        <v>LBL-PCTKE50G_NS</v>
      </c>
      <c r="B600" t="str">
        <v/>
      </c>
      <c r="C600">
        <v>0</v>
      </c>
      <c r="D600" t="str">
        <v>[]</v>
      </c>
    </row>
    <row r="601">
      <c r="A601" t="str">
        <v>LBL-PCTKRL18G</v>
      </c>
      <c r="B601" t="str">
        <v/>
      </c>
      <c r="C601">
        <v>0</v>
      </c>
      <c r="D601" t="str">
        <v>[]</v>
      </c>
    </row>
    <row r="602">
      <c r="A602" t="str">
        <v>LBL-PCTKRL18G_NS</v>
      </c>
      <c r="B602" t="str">
        <v/>
      </c>
      <c r="C602">
        <v>0</v>
      </c>
      <c r="D602" t="str">
        <v>[]</v>
      </c>
    </row>
    <row r="603">
      <c r="A603" t="str">
        <v>LBL-PFBM50G-H</v>
      </c>
      <c r="B603" t="str">
        <v/>
      </c>
      <c r="C603">
        <v>0</v>
      </c>
      <c r="D603" t="str">
        <v>[]</v>
      </c>
    </row>
    <row r="604">
      <c r="A604" t="str">
        <v>LBL-PFBM50G-H_NS</v>
      </c>
      <c r="B604" t="str">
        <v>6×27 | 26</v>
      </c>
      <c r="C604">
        <f>6*27 + 26</f>
      </c>
      <c r="D604" t="str">
        <v>["OLD 01-23-2026","OLD 01-23-2026"]</v>
      </c>
    </row>
    <row r="605">
      <c r="A605" t="str">
        <v>LBL-PFBM50-EXP</v>
      </c>
      <c r="B605" t="str">
        <v/>
      </c>
      <c r="C605">
        <v>0</v>
      </c>
      <c r="D605" t="str">
        <v>[]</v>
      </c>
    </row>
    <row r="606">
      <c r="A606" t="str">
        <v>LBL-PFBM50EXP_NS</v>
      </c>
      <c r="B606" t="str">
        <v/>
      </c>
      <c r="C606">
        <v>0</v>
      </c>
      <c r="D606" t="str">
        <v>[]</v>
      </c>
    </row>
    <row r="607">
      <c r="A607" t="str">
        <v>LBL-PFBQBM50G</v>
      </c>
      <c r="B607" t="str">
        <v/>
      </c>
      <c r="C607">
        <v>0</v>
      </c>
      <c r="D607" t="str">
        <v>[]</v>
      </c>
    </row>
    <row r="608">
      <c r="A608" t="str">
        <v>LBL-PFBQBM50G_NS</v>
      </c>
      <c r="B608" t="str">
        <v>16 | 15</v>
      </c>
      <c r="C608">
        <f>16 + 15</f>
      </c>
      <c r="D608" t="str">
        <v>["OLD 12-13-2025","OLD 12-13-2025"]</v>
      </c>
    </row>
    <row r="609">
      <c r="A609" t="str">
        <v>LBL-PFBQLB21G</v>
      </c>
      <c r="B609" t="str">
        <v/>
      </c>
      <c r="C609">
        <v>0</v>
      </c>
      <c r="D609" t="str">
        <v>[]</v>
      </c>
    </row>
    <row r="610">
      <c r="A610" t="str">
        <v>LBL-PFBQLB21G-ND</v>
      </c>
      <c r="B610" t="str">
        <v/>
      </c>
      <c r="C610">
        <v>0</v>
      </c>
      <c r="D610" t="str">
        <v>[]</v>
      </c>
    </row>
    <row r="611">
      <c r="A611" t="str">
        <v>LBL-PFBQLB21G_NS</v>
      </c>
      <c r="B611" t="str">
        <v/>
      </c>
      <c r="C611">
        <v>0</v>
      </c>
      <c r="D611" t="str">
        <v>[]</v>
      </c>
    </row>
    <row r="612">
      <c r="A612" t="str">
        <v>LBL-PFUA90G-800</v>
      </c>
      <c r="B612" t="str">
        <v/>
      </c>
      <c r="C612">
        <v>0</v>
      </c>
      <c r="D612" t="str">
        <v>[]</v>
      </c>
    </row>
    <row r="613">
      <c r="A613" t="str">
        <v>LBL-PFUA90G-8_NS</v>
      </c>
      <c r="B613" t="str">
        <v>7×18 | 16</v>
      </c>
      <c r="C613">
        <f>7*18 + 16</f>
      </c>
      <c r="D613" t="str">
        <v>["OLD","OLD"]</v>
      </c>
    </row>
    <row r="614">
      <c r="A614" t="str">
        <v>LBL-PFCBM50G</v>
      </c>
      <c r="B614" t="str">
        <v/>
      </c>
      <c r="C614">
        <v>0</v>
      </c>
      <c r="D614" t="str">
        <v>[]</v>
      </c>
    </row>
    <row r="615">
      <c r="A615" t="str">
        <v>LBL-PFCBM50G_NS</v>
      </c>
      <c r="B615" t="str">
        <v>12×27 | 23 | 3×27</v>
      </c>
      <c r="C615">
        <f>12*27 + 23 + 3*27</f>
      </c>
      <c r="D615" t="str">
        <v>["OLD 02-10-2026","OLD 02-10-2026","approved 02-12-2026"]</v>
      </c>
    </row>
    <row r="616">
      <c r="A616" t="str">
        <v>LBL-PFCLB21G</v>
      </c>
      <c r="B616" t="str">
        <v/>
      </c>
      <c r="C616">
        <v>0</v>
      </c>
      <c r="D616" t="str">
        <v>[]</v>
      </c>
    </row>
    <row r="617">
      <c r="A617" t="str">
        <v>LBL-PFCLB21G_NS</v>
      </c>
      <c r="B617" t="str">
        <v xml:space="preserve">13×48 | 2 </v>
      </c>
      <c r="C617">
        <f>13*48 + 2</f>
      </c>
      <c r="D617" t="str">
        <v>["OLD temp specs 02-20-2026","OLD temp specs 02-20-2026"]</v>
      </c>
    </row>
    <row r="618">
      <c r="A618" t="str">
        <v>LBL-PFCLB21G-ND</v>
      </c>
      <c r="B618" t="str">
        <v/>
      </c>
      <c r="C618">
        <v>0</v>
      </c>
      <c r="D618" t="str">
        <v>[]</v>
      </c>
    </row>
    <row r="619">
      <c r="A619" t="str">
        <v>LBL-PFCUA90G-800</v>
      </c>
      <c r="B619" t="str">
        <v/>
      </c>
      <c r="C619">
        <v>0</v>
      </c>
      <c r="D619" t="str">
        <v>[]</v>
      </c>
    </row>
    <row r="620">
      <c r="A620" t="str">
        <v>LBL-PFCUA90G-8_NS</v>
      </c>
      <c r="B620" t="str">
        <v>15×18 | 9</v>
      </c>
      <c r="C620">
        <f>15*18 + 9</f>
      </c>
      <c r="D620" t="str">
        <v>["OLD 02-15-2026","OLD 02-15-2026"]</v>
      </c>
    </row>
    <row r="621">
      <c r="A621" t="str">
        <v>LBL-PFKBM50G-H</v>
      </c>
      <c r="B621" t="str">
        <v/>
      </c>
      <c r="C621">
        <v>0</v>
      </c>
      <c r="D621" t="str">
        <v>[]</v>
      </c>
    </row>
    <row r="622">
      <c r="A622" t="str">
        <v>LBL-PFKBM50G-H_NS</v>
      </c>
      <c r="B622" t="str">
        <v>5×27 | 20</v>
      </c>
      <c r="C622">
        <f>5*27 + 20</f>
      </c>
      <c r="D622" t="str">
        <v>["OLD 02-12-2026","OLD 02-12-2026"]</v>
      </c>
    </row>
    <row r="623">
      <c r="A623" t="str">
        <v>LBL-PFKBM50G-EXP</v>
      </c>
      <c r="B623" t="str">
        <v/>
      </c>
      <c r="C623">
        <v>0</v>
      </c>
      <c r="D623" t="str">
        <v>[]</v>
      </c>
    </row>
    <row r="624">
      <c r="A624" t="str">
        <v>LBL-PFKBM50EXP_NS</v>
      </c>
      <c r="B624" t="str">
        <v/>
      </c>
      <c r="C624">
        <v>0</v>
      </c>
      <c r="D624" t="str">
        <v>[]</v>
      </c>
    </row>
    <row r="625">
      <c r="A625" t="str">
        <v>LBL-PFKLB21G</v>
      </c>
      <c r="B625" t="str">
        <v/>
      </c>
      <c r="C625">
        <v>0</v>
      </c>
      <c r="D625" t="str">
        <v>[]</v>
      </c>
    </row>
    <row r="626">
      <c r="A626" t="str">
        <v>LBL-PFKLB21G-ND</v>
      </c>
      <c r="B626" t="str">
        <v/>
      </c>
      <c r="C626">
        <v>0</v>
      </c>
      <c r="D626" t="str">
        <v>[]</v>
      </c>
    </row>
    <row r="627">
      <c r="A627" t="str">
        <v>LBL-PFKLB21G_NS</v>
      </c>
      <c r="B627" t="str">
        <v/>
      </c>
      <c r="C627">
        <v>0</v>
      </c>
      <c r="D627" t="str">
        <v>[]</v>
      </c>
    </row>
    <row r="628">
      <c r="A628" t="str">
        <v>LBL-PFLB21G</v>
      </c>
      <c r="B628" t="str">
        <v/>
      </c>
      <c r="C628">
        <v>0</v>
      </c>
      <c r="D628" t="str">
        <v>[]</v>
      </c>
    </row>
    <row r="629">
      <c r="A629" t="str">
        <v>LBL-PFLB21G-ND</v>
      </c>
      <c r="B629" t="str">
        <v/>
      </c>
      <c r="C629">
        <v>0</v>
      </c>
      <c r="D629" t="str">
        <v>[]</v>
      </c>
    </row>
    <row r="630">
      <c r="A630" t="str">
        <v>LBL-PFLB21G_NS</v>
      </c>
      <c r="B630" t="str">
        <v>3×48 | 20 | 56</v>
      </c>
      <c r="C630">
        <f>3*48 + 20 + 56</f>
      </c>
      <c r="D630" t="str">
        <v>["OLD 02-13-2026","OLD 02-13-2026","FIRST OUT 02-13-2026"]</v>
      </c>
    </row>
    <row r="631">
      <c r="A631" t="str">
        <v>LBL-PFXS5GEXP-H</v>
      </c>
      <c r="B631" t="str">
        <v/>
      </c>
      <c r="C631">
        <v>0</v>
      </c>
      <c r="D631" t="str">
        <v>[]</v>
      </c>
    </row>
    <row r="632">
      <c r="A632" t="str">
        <v>LBL-PFXS5G-EXP_NS</v>
      </c>
      <c r="B632" t="str">
        <v/>
      </c>
      <c r="C632">
        <v>0</v>
      </c>
      <c r="D632" t="str">
        <v>[]</v>
      </c>
    </row>
    <row r="633">
      <c r="A633" t="str">
        <v>LBL-PFXS5G-E_NS</v>
      </c>
      <c r="B633" t="str">
        <v>96 | 45</v>
      </c>
      <c r="C633">
        <f>96 + 45</f>
      </c>
      <c r="D633" t="str">
        <v>["first out","first out"]</v>
      </c>
    </row>
    <row r="634">
      <c r="A634" t="str">
        <v>LBL-PFXS5G-H</v>
      </c>
      <c r="B634" t="str">
        <v/>
      </c>
      <c r="C634">
        <v>0</v>
      </c>
      <c r="D634" t="str">
        <v>[]</v>
      </c>
    </row>
    <row r="635">
      <c r="A635" t="str">
        <v>LBL-PNCBGDE38G</v>
      </c>
      <c r="B635" t="str">
        <v/>
      </c>
      <c r="C635">
        <v>0</v>
      </c>
      <c r="D635" t="str">
        <v>[]</v>
      </c>
    </row>
    <row r="636">
      <c r="A636" t="str">
        <v>LBL-PNCBGMF24G</v>
      </c>
      <c r="B636" t="str">
        <v/>
      </c>
      <c r="C636">
        <v>0</v>
      </c>
      <c r="D636" t="str">
        <v>[]</v>
      </c>
    </row>
    <row r="637">
      <c r="A637" t="str">
        <v>LBL-PNCCHDE38G</v>
      </c>
      <c r="B637" t="str">
        <v/>
      </c>
      <c r="C637">
        <v>0</v>
      </c>
      <c r="D637" t="str">
        <v>[]</v>
      </c>
    </row>
    <row r="638">
      <c r="A638" t="str">
        <v>LBL-PNCCHMF24G</v>
      </c>
      <c r="B638" t="str">
        <v/>
      </c>
      <c r="C638">
        <v>0</v>
      </c>
      <c r="D638" t="str">
        <v>[]</v>
      </c>
    </row>
    <row r="639">
      <c r="A639" t="str">
        <v>LBL-PNTGSDA120G</v>
      </c>
      <c r="B639" t="str">
        <v/>
      </c>
      <c r="C639">
        <v>0</v>
      </c>
      <c r="D639" t="str">
        <v>[]</v>
      </c>
    </row>
    <row r="640">
      <c r="A640" t="str">
        <v>LBL-PNTGSLM32G</v>
      </c>
      <c r="B640" t="str">
        <v/>
      </c>
      <c r="C640">
        <v>0</v>
      </c>
      <c r="D640" t="str">
        <v>[]</v>
      </c>
    </row>
    <row r="641">
      <c r="A641" t="str">
        <v>LBL-PNTGSLM32G_NS</v>
      </c>
      <c r="B641" t="str">
        <v/>
      </c>
      <c r="C641">
        <v>0</v>
      </c>
      <c r="D641" t="str">
        <v>[]</v>
      </c>
    </row>
    <row r="642">
      <c r="A642" t="str">
        <v>LBL-PNTGSPK100G</v>
      </c>
      <c r="B642" t="str">
        <v/>
      </c>
      <c r="C642">
        <v>0</v>
      </c>
      <c r="D642" t="str">
        <v>[]</v>
      </c>
    </row>
    <row r="643">
      <c r="A643" t="str">
        <v>LBL-PNTSWDDA120G</v>
      </c>
      <c r="B643" t="str">
        <v/>
      </c>
      <c r="C643">
        <v>0</v>
      </c>
      <c r="D643" t="str">
        <v>[]</v>
      </c>
    </row>
    <row r="644">
      <c r="A644" t="str">
        <v>LBL-PNTSWDLM</v>
      </c>
      <c r="B644" t="str">
        <v/>
      </c>
      <c r="C644">
        <v>0</v>
      </c>
      <c r="D644" t="str">
        <v>[]</v>
      </c>
    </row>
    <row r="645">
      <c r="A645" t="str">
        <v>LBL-PNTSWDLM32G_NS</v>
      </c>
      <c r="B645" t="str">
        <v/>
      </c>
      <c r="C645">
        <v>0</v>
      </c>
      <c r="D645" t="str">
        <v>[]</v>
      </c>
    </row>
    <row r="646">
      <c r="A646" t="str">
        <v>LBL-PNTSWDPK100G</v>
      </c>
      <c r="B646" t="str">
        <v/>
      </c>
      <c r="C646">
        <v>0</v>
      </c>
      <c r="D646" t="str">
        <v>[]</v>
      </c>
    </row>
    <row r="647">
      <c r="A647" t="str">
        <v>LBL-POPCAF60G-H</v>
      </c>
      <c r="B647" t="str">
        <v/>
      </c>
      <c r="C647">
        <v>0</v>
      </c>
      <c r="D647" t="str">
        <v>[]</v>
      </c>
    </row>
    <row r="648">
      <c r="A648" t="str">
        <v>LBL-POPCAF60GH_NS</v>
      </c>
      <c r="B648" t="str">
        <v/>
      </c>
      <c r="C648">
        <v>0</v>
      </c>
      <c r="D648" t="str">
        <v>[]</v>
      </c>
    </row>
    <row r="649">
      <c r="A649" t="str">
        <v>LBL-POPCAPN120G</v>
      </c>
      <c r="B649" t="str">
        <v/>
      </c>
      <c r="C649">
        <v>0</v>
      </c>
      <c r="D649" t="str">
        <v>[]</v>
      </c>
    </row>
    <row r="650">
      <c r="A650" t="str">
        <v>LBL-POPCA-QC36G</v>
      </c>
      <c r="B650" t="str">
        <v/>
      </c>
      <c r="C650">
        <v>0</v>
      </c>
      <c r="D650" t="str">
        <v>[]</v>
      </c>
    </row>
    <row r="651">
      <c r="A651" t="str">
        <v>LBL-POPCC-BB60G</v>
      </c>
      <c r="B651" t="str">
        <v/>
      </c>
      <c r="C651">
        <v>0</v>
      </c>
      <c r="D651" t="str">
        <v>[]</v>
      </c>
    </row>
    <row r="652">
      <c r="A652" t="str">
        <v>LBL-POPCHOBB80G</v>
      </c>
      <c r="B652" t="str">
        <v/>
      </c>
      <c r="C652">
        <v>0</v>
      </c>
      <c r="D652" t="str">
        <v>[]</v>
      </c>
    </row>
    <row r="653">
      <c r="A653" t="str">
        <v>LBL-POPCHOF60G-H</v>
      </c>
      <c r="B653" t="str">
        <v/>
      </c>
      <c r="C653">
        <v>0</v>
      </c>
      <c r="D653" t="str">
        <v>[]</v>
      </c>
    </row>
    <row r="654">
      <c r="A654" t="str">
        <v>LBL-POPCHOF60GH_NS</v>
      </c>
      <c r="B654" t="str">
        <v/>
      </c>
      <c r="C654">
        <v>0</v>
      </c>
      <c r="D654" t="str">
        <v>[]</v>
      </c>
    </row>
    <row r="655">
      <c r="A655" t="str">
        <v>LBL-POPMCC-F60G</v>
      </c>
      <c r="B655" t="str">
        <v/>
      </c>
      <c r="C655">
        <v>0</v>
      </c>
      <c r="D655" t="str">
        <v>[]</v>
      </c>
    </row>
    <row r="656">
      <c r="A656" t="str">
        <v>LBL-POPMCC-F60G_NS</v>
      </c>
      <c r="B656" t="str">
        <v/>
      </c>
      <c r="C656">
        <v>0</v>
      </c>
      <c r="D656" t="str">
        <v>[]</v>
      </c>
    </row>
    <row r="657">
      <c r="A657" t="str">
        <v>LBL-POPMCC-QC36G</v>
      </c>
      <c r="B657" t="str">
        <v/>
      </c>
      <c r="C657">
        <v>0</v>
      </c>
      <c r="D657" t="str">
        <v>[]</v>
      </c>
    </row>
    <row r="658">
      <c r="A658" t="str">
        <v>LBL-POPMCC-RM</v>
      </c>
      <c r="B658" t="str">
        <v/>
      </c>
      <c r="C658">
        <v>0</v>
      </c>
      <c r="D658" t="str">
        <v>[]</v>
      </c>
    </row>
    <row r="659">
      <c r="A659" t="str">
        <v>LBL-PPHS-FG60G</v>
      </c>
      <c r="B659" t="str">
        <v/>
      </c>
      <c r="C659">
        <v>0</v>
      </c>
      <c r="D659" t="str">
        <v>[]</v>
      </c>
    </row>
    <row r="660">
      <c r="A660" t="str">
        <v>LBL-PPHS-LG26G</v>
      </c>
      <c r="B660" t="str">
        <v/>
      </c>
      <c r="C660">
        <v>0</v>
      </c>
      <c r="D660" t="str">
        <v>[]</v>
      </c>
    </row>
    <row r="661">
      <c r="A661" t="str">
        <v>LBL-PPSBCHL22G</v>
      </c>
      <c r="B661" t="str">
        <v/>
      </c>
      <c r="C661">
        <v>0</v>
      </c>
      <c r="D661" t="str">
        <v>[]</v>
      </c>
    </row>
    <row r="662">
      <c r="A662" t="str">
        <v>LBL-PPSBSCL22G</v>
      </c>
      <c r="B662" t="str">
        <v/>
      </c>
      <c r="C662">
        <v>0</v>
      </c>
      <c r="D662" t="str">
        <v>[]</v>
      </c>
    </row>
    <row r="663">
      <c r="A663" t="str">
        <v>LBL-PSNKFB60G</v>
      </c>
      <c r="B663" t="str">
        <v/>
      </c>
      <c r="C663">
        <v>0</v>
      </c>
      <c r="D663" t="str">
        <v>[]</v>
      </c>
    </row>
    <row r="664">
      <c r="A664" t="str">
        <v>LBL-PSNKFB60G_NS</v>
      </c>
      <c r="B664" t="str">
        <v/>
      </c>
      <c r="C664">
        <v>0</v>
      </c>
      <c r="D664" t="str">
        <v>[]</v>
      </c>
    </row>
    <row r="665">
      <c r="A665" t="str">
        <v>LBL-PSNKLS28G</v>
      </c>
      <c r="B665" t="str">
        <v/>
      </c>
      <c r="C665">
        <v>0</v>
      </c>
      <c r="D665" t="str">
        <v>[]</v>
      </c>
    </row>
    <row r="666">
      <c r="A666" t="str">
        <v>LBL-PSNKLS28G_NS</v>
      </c>
      <c r="B666" t="str">
        <v>18</v>
      </c>
      <c r="C666">
        <f>18</f>
      </c>
      <c r="D666" t="str">
        <v>["OLD"]</v>
      </c>
    </row>
    <row r="667">
      <c r="A667" t="str">
        <v>LBL-PTCBQ-DC32G</v>
      </c>
      <c r="B667" t="str">
        <v/>
      </c>
      <c r="C667">
        <v>0</v>
      </c>
      <c r="D667" t="str">
        <v>[]</v>
      </c>
    </row>
    <row r="668">
      <c r="A668" t="str">
        <v>LBL-PTCBQDC32G_NS</v>
      </c>
      <c r="B668" t="str">
        <v/>
      </c>
      <c r="C668">
        <v>0</v>
      </c>
      <c r="D668" t="str">
        <v>[]</v>
      </c>
    </row>
    <row r="669">
      <c r="A669" t="str">
        <v>LBL-PTCBQ-JA85G</v>
      </c>
      <c r="B669" t="str">
        <v/>
      </c>
      <c r="C669">
        <v>0</v>
      </c>
      <c r="D669" t="str">
        <v>[]</v>
      </c>
    </row>
    <row r="670">
      <c r="A670" t="str">
        <v>LBL-PTCBQJA85G_NS</v>
      </c>
      <c r="B670" t="str">
        <v/>
      </c>
      <c r="C670">
        <v>0</v>
      </c>
      <c r="D670" t="str">
        <v>[]</v>
      </c>
    </row>
    <row r="671">
      <c r="A671" t="str">
        <v>LBL-PTCCH-DC32G</v>
      </c>
      <c r="B671" t="str">
        <v/>
      </c>
      <c r="C671">
        <v>0</v>
      </c>
      <c r="D671" t="str">
        <v>[]</v>
      </c>
    </row>
    <row r="672">
      <c r="A672" t="str">
        <v>LBL-PTCCHDC32G_NS</v>
      </c>
      <c r="B672" t="str">
        <v>14</v>
      </c>
      <c r="C672">
        <f>14</f>
      </c>
      <c r="D672" t="str">
        <v>["OLD 01-17-2026"]</v>
      </c>
    </row>
    <row r="673">
      <c r="A673" t="str">
        <v>LBL-PTCCH-JA85G</v>
      </c>
      <c r="B673" t="str">
        <v/>
      </c>
      <c r="C673">
        <v>0</v>
      </c>
      <c r="D673" t="str">
        <v>[]</v>
      </c>
    </row>
    <row r="674">
      <c r="A674" t="str">
        <v>LBL-PTCCHJA85G_NS</v>
      </c>
      <c r="B674" t="str">
        <v>7</v>
      </c>
      <c r="C674">
        <f>7</f>
      </c>
      <c r="D674" t="str">
        <v>["OLD"]</v>
      </c>
    </row>
    <row r="675">
      <c r="A675" t="str">
        <v>LBL-PTCTA-DC32G</v>
      </c>
      <c r="B675" t="str">
        <v/>
      </c>
      <c r="C675">
        <v>0</v>
      </c>
      <c r="D675" t="str">
        <v>[]</v>
      </c>
    </row>
    <row r="676">
      <c r="A676" t="str">
        <v>LBL-PTCTADC32G_NS</v>
      </c>
      <c r="B676" t="str">
        <v/>
      </c>
      <c r="C676">
        <v>0</v>
      </c>
      <c r="D676" t="str">
        <v>[]</v>
      </c>
    </row>
    <row r="677">
      <c r="A677" t="str">
        <v>LBL-PTCTA-JA85G</v>
      </c>
      <c r="B677" t="str">
        <v/>
      </c>
      <c r="C677">
        <v>0</v>
      </c>
      <c r="D677" t="str">
        <v>[]</v>
      </c>
    </row>
    <row r="678">
      <c r="A678" t="str">
        <v>LBL-PTCTAJA85G_NS</v>
      </c>
      <c r="B678" t="str">
        <v/>
      </c>
      <c r="C678">
        <v>0</v>
      </c>
      <c r="D678" t="str">
        <v>[]</v>
      </c>
    </row>
    <row r="679">
      <c r="A679" t="str">
        <v>LBL-PTCCH_MKTG</v>
      </c>
      <c r="B679" t="str">
        <v/>
      </c>
      <c r="C679">
        <v>0</v>
      </c>
      <c r="D679" t="str">
        <v>[]</v>
      </c>
    </row>
    <row r="680">
      <c r="A680" t="str">
        <v>LBL-PTCBQ_MKTG</v>
      </c>
      <c r="B680" t="str">
        <v/>
      </c>
      <c r="C680">
        <v>0</v>
      </c>
      <c r="D680" t="str">
        <v>[]</v>
      </c>
    </row>
    <row r="681">
      <c r="A681" t="str">
        <v>LBL-PTTCH_MKTG</v>
      </c>
      <c r="B681" t="str">
        <v/>
      </c>
      <c r="C681">
        <v>0</v>
      </c>
      <c r="D681" t="str">
        <v>[]</v>
      </c>
    </row>
    <row r="682">
      <c r="A682" t="str">
        <v>LBL-PTCTA_MKTG</v>
      </c>
      <c r="B682" t="str">
        <v/>
      </c>
      <c r="C682">
        <v>0</v>
      </c>
      <c r="D682" t="str">
        <v>[]</v>
      </c>
    </row>
    <row r="683">
      <c r="A683" t="str">
        <v>LBL-RCBM50EXP-UNI</v>
      </c>
      <c r="B683" t="str">
        <v/>
      </c>
      <c r="C683">
        <v>0</v>
      </c>
      <c r="D683" t="str">
        <v>[]</v>
      </c>
    </row>
    <row r="684">
      <c r="A684" t="str">
        <v>LBL-RCBM50G</v>
      </c>
      <c r="B684" t="str">
        <v/>
      </c>
      <c r="C684">
        <v>0</v>
      </c>
      <c r="D684" t="str">
        <v>[]</v>
      </c>
    </row>
    <row r="685">
      <c r="A685" t="str">
        <v>LBL-RCBM50G_NS</v>
      </c>
      <c r="B685" t="str">
        <v>2×27 | 12</v>
      </c>
      <c r="C685">
        <f>2*27 + 12</f>
      </c>
      <c r="D685" t="str">
        <v>["OLD","OLD"]</v>
      </c>
    </row>
    <row r="686">
      <c r="A686" t="str">
        <v>LBL-RCBM50G-EXP</v>
      </c>
      <c r="B686" t="str">
        <v/>
      </c>
      <c r="C686">
        <v>0</v>
      </c>
      <c r="D686" t="str">
        <v>[]</v>
      </c>
    </row>
    <row r="687">
      <c r="A687" t="str">
        <v>LBL-RCBM50EXP_NS</v>
      </c>
      <c r="B687" t="str">
        <v/>
      </c>
      <c r="C687">
        <v>0</v>
      </c>
      <c r="D687" t="str">
        <v>[]</v>
      </c>
    </row>
    <row r="688">
      <c r="A688" t="str">
        <v>LBL-RCL24G</v>
      </c>
      <c r="B688" t="str">
        <v/>
      </c>
      <c r="C688">
        <v>0</v>
      </c>
      <c r="D688" t="str">
        <v>[]</v>
      </c>
    </row>
    <row r="689">
      <c r="A689" t="str">
        <v>LBL-RCL24G-ND</v>
      </c>
      <c r="B689" t="str">
        <v/>
      </c>
      <c r="C689">
        <v>0</v>
      </c>
      <c r="D689" t="str">
        <v>[]</v>
      </c>
    </row>
    <row r="690">
      <c r="A690" t="str">
        <v>LBL-RCL24G_NS</v>
      </c>
      <c r="B690" t="str">
        <v>3×48 | 37</v>
      </c>
      <c r="C690">
        <f>3*48 + 37</f>
      </c>
      <c r="D690" t="str">
        <v>["OLD 02-17-2026","OLD 02-17-2026"]</v>
      </c>
    </row>
    <row r="691">
      <c r="A691" t="str">
        <v>LBL-RCSFA60G</v>
      </c>
      <c r="B691" t="str">
        <v>27</v>
      </c>
      <c r="C691">
        <f>27</f>
      </c>
      <c r="D691" t="str">
        <v>["first out"]</v>
      </c>
    </row>
    <row r="692">
      <c r="A692" t="str">
        <v>LBL-RCSL24G</v>
      </c>
      <c r="B692" t="str">
        <v/>
      </c>
      <c r="C692">
        <v>0</v>
      </c>
      <c r="D692" t="str">
        <v>[]</v>
      </c>
    </row>
    <row r="693">
      <c r="A693" t="str">
        <v>LBL-RCSL24G-ND</v>
      </c>
      <c r="B693" t="str">
        <v/>
      </c>
      <c r="C693">
        <v>0</v>
      </c>
      <c r="D693" t="str">
        <v>[]</v>
      </c>
    </row>
    <row r="694">
      <c r="A694" t="str">
        <v>LBL-RCSL24G_NS</v>
      </c>
      <c r="B694" t="str">
        <v>11×48</v>
      </c>
      <c r="C694">
        <f>11*48</f>
      </c>
      <c r="D694" t="str">
        <v>["OLD temp specs 02-21-2026"]</v>
      </c>
    </row>
    <row r="695">
      <c r="A695" t="str">
        <v>LBL-RCSXS5G</v>
      </c>
      <c r="B695" t="str">
        <v/>
      </c>
      <c r="C695">
        <v>0</v>
      </c>
      <c r="D695" t="str">
        <v>[]</v>
      </c>
    </row>
    <row r="696">
      <c r="A696" t="str">
        <v>LBL-RCSXS5G-M</v>
      </c>
      <c r="B696" t="str">
        <v/>
      </c>
      <c r="C696">
        <v>0</v>
      </c>
      <c r="D696" t="str">
        <v>[]</v>
      </c>
    </row>
    <row r="697">
      <c r="A697" t="str">
        <v>LBL-RCSUA85G-800</v>
      </c>
      <c r="B697" t="str">
        <v/>
      </c>
      <c r="C697">
        <v>0</v>
      </c>
      <c r="D697" t="str">
        <v>[]</v>
      </c>
    </row>
    <row r="698">
      <c r="A698" t="str">
        <v>LBL-RCSUA85G8_NS</v>
      </c>
      <c r="B698" t="str">
        <v>4×18 | 11</v>
      </c>
      <c r="C698">
        <f>4*18 + 11</f>
      </c>
      <c r="D698" t="str">
        <v>["OLD temp specs 12-16-2025","OLD temp specs 12-16-2025"]</v>
      </c>
    </row>
    <row r="699">
      <c r="A699" t="str">
        <v>LBL-RCSUA85GEXP-US</v>
      </c>
      <c r="B699" t="str">
        <v/>
      </c>
      <c r="C699">
        <v>0</v>
      </c>
      <c r="D699" t="str">
        <v>[]</v>
      </c>
    </row>
    <row r="700">
      <c r="A700" t="str">
        <v>LBL-RCUA90G8EX-UNI</v>
      </c>
      <c r="B700" t="str">
        <v/>
      </c>
      <c r="C700">
        <v>0</v>
      </c>
      <c r="D700" t="str">
        <v>[]</v>
      </c>
    </row>
    <row r="701">
      <c r="A701" t="str">
        <v>LBL-RCUA100G-EXP</v>
      </c>
      <c r="B701" t="str">
        <v/>
      </c>
      <c r="C701">
        <v>0</v>
      </c>
      <c r="D701" t="str">
        <v>[]</v>
      </c>
    </row>
    <row r="702">
      <c r="A702" t="str">
        <v>LBL-RCUA90G</v>
      </c>
      <c r="B702" t="str">
        <v/>
      </c>
      <c r="C702">
        <v>0</v>
      </c>
      <c r="D702" t="str">
        <v>[]</v>
      </c>
    </row>
    <row r="703">
      <c r="A703" t="str">
        <v>LBL-RCUA90G-EXP</v>
      </c>
      <c r="B703" t="str">
        <v/>
      </c>
      <c r="C703">
        <v>0</v>
      </c>
      <c r="D703" t="str">
        <v>[]</v>
      </c>
    </row>
    <row r="704">
      <c r="A704" t="str">
        <v>LBL-RCUA90G-8EXP</v>
      </c>
      <c r="B704" t="str">
        <v/>
      </c>
      <c r="C704">
        <v>0</v>
      </c>
      <c r="D704" t="str">
        <v>[]</v>
      </c>
    </row>
    <row r="705">
      <c r="A705" t="str">
        <v>LBL-RCUA90G-8EX_NS</v>
      </c>
      <c r="B705" t="str">
        <v/>
      </c>
      <c r="C705">
        <v>0</v>
      </c>
      <c r="D705" t="str">
        <v>[]</v>
      </c>
    </row>
    <row r="706">
      <c r="A706" t="str">
        <v>LBL-RCUA90G-800</v>
      </c>
      <c r="B706" t="str">
        <v/>
      </c>
      <c r="C706">
        <v>0</v>
      </c>
      <c r="D706" t="str">
        <v>[]</v>
      </c>
    </row>
    <row r="707">
      <c r="A707" t="str">
        <v>LBL-RCUA90G-8_NS</v>
      </c>
      <c r="B707" t="str">
        <v>5×18 | 23 | 10</v>
      </c>
      <c r="C707">
        <f>5*18 + 23 + 10</f>
      </c>
      <c r="D707" t="str">
        <v>["OLD 02-23-2026","OLD 02-23-2026","APPROVED 02-24-2026"]</v>
      </c>
    </row>
    <row r="708">
      <c r="A708" t="str">
        <v>LBL-RCXS5G</v>
      </c>
      <c r="B708" t="str">
        <v/>
      </c>
      <c r="C708">
        <v>0</v>
      </c>
      <c r="D708" t="str">
        <v>[]</v>
      </c>
    </row>
    <row r="709">
      <c r="A709" t="str">
        <v>LBL-RCXS5G-M</v>
      </c>
      <c r="B709" t="str">
        <v/>
      </c>
      <c r="C709">
        <v>0</v>
      </c>
      <c r="D709" t="str">
        <v>[]</v>
      </c>
    </row>
    <row r="710">
      <c r="A710" t="str">
        <v>LBL-SHOCHL24G</v>
      </c>
      <c r="B710" t="str">
        <v/>
      </c>
      <c r="C710">
        <v>0</v>
      </c>
      <c r="D710" t="str">
        <v>[]</v>
      </c>
    </row>
    <row r="711">
      <c r="A711" t="str">
        <v>LBL-SHSCKRM20G</v>
      </c>
      <c r="B711" t="str">
        <v/>
      </c>
      <c r="C711">
        <v>0</v>
      </c>
      <c r="D711" t="str">
        <v>[]</v>
      </c>
    </row>
    <row r="712">
      <c r="A712" t="str">
        <v>LBL-SHSHBRM20G</v>
      </c>
      <c r="B712" t="str">
        <v/>
      </c>
      <c r="C712">
        <v>0</v>
      </c>
      <c r="D712" t="str">
        <v>[]</v>
      </c>
    </row>
    <row r="713">
      <c r="A713" t="str">
        <v>LBL-SHSPSRM20G_L</v>
      </c>
      <c r="B713" t="str">
        <v/>
      </c>
      <c r="C713">
        <v>0</v>
      </c>
      <c r="D713" t="str">
        <v>[]</v>
      </c>
    </row>
    <row r="714">
      <c r="A714" t="str">
        <v>LBL-SOPCF60G-EXP-H</v>
      </c>
      <c r="B714" t="str">
        <v/>
      </c>
      <c r="C714">
        <v>0</v>
      </c>
      <c r="D714" t="str">
        <v>[]</v>
      </c>
    </row>
    <row r="715">
      <c r="A715" t="str">
        <v>LBL-SOPCF60GEXH_NS</v>
      </c>
      <c r="B715" t="str">
        <v/>
      </c>
      <c r="C715">
        <v>0</v>
      </c>
      <c r="D715" t="str">
        <v>[]</v>
      </c>
    </row>
    <row r="716">
      <c r="A716" t="str">
        <v>LBL-SOPCF60GE_UNI</v>
      </c>
      <c r="B716" t="str">
        <v/>
      </c>
      <c r="C716">
        <v>0</v>
      </c>
      <c r="D716" t="str">
        <v>[]</v>
      </c>
    </row>
    <row r="717">
      <c r="A717" t="str">
        <v>LBL-SOPCF60G-H</v>
      </c>
      <c r="B717" t="str">
        <v/>
      </c>
      <c r="C717">
        <v>0</v>
      </c>
      <c r="D717" t="str">
        <v>[]</v>
      </c>
    </row>
    <row r="718">
      <c r="A718" t="str">
        <v>LBL-SOPCF60GH_NS</v>
      </c>
      <c r="B718" t="str">
        <v>2×36 | 35</v>
      </c>
      <c r="C718">
        <f>2*36 + 35</f>
      </c>
      <c r="D718" t="str">
        <v>["OLD 01-14-2026","OLD 01-14-2026"]</v>
      </c>
    </row>
    <row r="719">
      <c r="A719" t="str">
        <v>LBL-SOPCL24G</v>
      </c>
      <c r="B719" t="str">
        <v/>
      </c>
      <c r="C719">
        <v>0</v>
      </c>
      <c r="D719" t="str">
        <v>[]</v>
      </c>
    </row>
    <row r="720">
      <c r="A720" t="str">
        <v>LBL-SOPCL24G-ND</v>
      </c>
      <c r="B720" t="str">
        <v/>
      </c>
      <c r="C720">
        <v>0</v>
      </c>
      <c r="D720" t="str">
        <v>[]</v>
      </c>
    </row>
    <row r="721">
      <c r="A721" t="str">
        <v>LBL-SOPCL24G_NS</v>
      </c>
      <c r="B721" t="str">
        <v>20×48 | 16</v>
      </c>
      <c r="C721">
        <f>20*48 + 16</f>
      </c>
      <c r="D721" t="str">
        <v>["OLD temp specs 02-21-2026","OLD temp specs 02-21-2026"]</v>
      </c>
    </row>
    <row r="722">
      <c r="A722" t="str">
        <v>LBL-SOPCUA90G</v>
      </c>
      <c r="B722" t="str">
        <v/>
      </c>
      <c r="C722">
        <v>0</v>
      </c>
      <c r="D722" t="str">
        <v>[]</v>
      </c>
    </row>
    <row r="723">
      <c r="A723" t="str">
        <v>LBL-SOPCUA90G-EXP</v>
      </c>
      <c r="B723" t="str">
        <v/>
      </c>
      <c r="C723">
        <v>0</v>
      </c>
      <c r="D723" t="str">
        <v>[]</v>
      </c>
    </row>
    <row r="724">
      <c r="A724" t="str">
        <v>LBL-SOPCUA90G-8EXP</v>
      </c>
      <c r="B724" t="str">
        <v/>
      </c>
      <c r="C724">
        <v>0</v>
      </c>
      <c r="D724" t="str">
        <v>[]</v>
      </c>
    </row>
    <row r="725">
      <c r="A725" t="str">
        <v>LBL-SOPCUA90G8E_NS</v>
      </c>
      <c r="B725" t="str">
        <v/>
      </c>
      <c r="C725">
        <v>0</v>
      </c>
      <c r="D725" t="str">
        <v>[]</v>
      </c>
    </row>
    <row r="726">
      <c r="A726" t="str">
        <v>LBL-SOPCUA90G8E_UNI</v>
      </c>
      <c r="B726" t="str">
        <v/>
      </c>
      <c r="C726">
        <v>0</v>
      </c>
      <c r="D726" t="str">
        <v>[]</v>
      </c>
    </row>
    <row r="727">
      <c r="A727" t="str">
        <v>LBL-SOPCUA90G-800</v>
      </c>
      <c r="B727" t="str">
        <v/>
      </c>
      <c r="C727">
        <v>0</v>
      </c>
      <c r="D727" t="str">
        <v>[]</v>
      </c>
    </row>
    <row r="728">
      <c r="A728" t="str">
        <v>LBL-SOPCUA90G8_NS</v>
      </c>
      <c r="B728" t="str">
        <v/>
      </c>
      <c r="C728">
        <v>0</v>
      </c>
      <c r="D728" t="str">
        <v>[]</v>
      </c>
    </row>
    <row r="729">
      <c r="A729" t="str">
        <v>LBL-SOPCXS5G-H</v>
      </c>
      <c r="B729" t="str">
        <v/>
      </c>
      <c r="C729">
        <v>0</v>
      </c>
      <c r="D729" t="str">
        <v>[]</v>
      </c>
    </row>
    <row r="730">
      <c r="A730" t="str">
        <v>LBL-SOPCXS5G-M</v>
      </c>
      <c r="B730" t="str">
        <v/>
      </c>
      <c r="C730">
        <v>0</v>
      </c>
      <c r="D730" t="str">
        <v>[]</v>
      </c>
    </row>
    <row r="731">
      <c r="A731" t="str">
        <v>LBL-SPNGCALS30G</v>
      </c>
      <c r="B731" t="str">
        <v/>
      </c>
      <c r="C731">
        <v>0</v>
      </c>
      <c r="D731" t="str">
        <v>[]</v>
      </c>
    </row>
    <row r="732">
      <c r="A732" t="str">
        <v>LBL-SPNGCHSLS30G</v>
      </c>
      <c r="B732" t="str">
        <v/>
      </c>
      <c r="C732">
        <v>0</v>
      </c>
      <c r="D732" t="str">
        <v>[]</v>
      </c>
    </row>
    <row r="733">
      <c r="A733" t="str">
        <v>LBL-SPNGCHSPA120G</v>
      </c>
      <c r="B733" t="str">
        <v/>
      </c>
      <c r="C733">
        <v>0</v>
      </c>
      <c r="D733" t="str">
        <v>[]</v>
      </c>
    </row>
    <row r="734">
      <c r="A734" t="str">
        <v>LBL-SPNGCLS30G</v>
      </c>
      <c r="B734" t="str">
        <v/>
      </c>
      <c r="C734">
        <v>0</v>
      </c>
      <c r="D734" t="str">
        <v>[]</v>
      </c>
    </row>
    <row r="735">
      <c r="A735" t="str">
        <v>LBL-SPNGCLS30G_NS</v>
      </c>
      <c r="B735" t="str">
        <v/>
      </c>
      <c r="C735">
        <v>0</v>
      </c>
      <c r="D735" t="str">
        <v>[]</v>
      </c>
    </row>
    <row r="736">
      <c r="A736" t="str">
        <v>LBL-SPNGULS30G</v>
      </c>
      <c r="B736" t="str">
        <v/>
      </c>
      <c r="C736">
        <v>0</v>
      </c>
      <c r="D736" t="str">
        <v>[]</v>
      </c>
    </row>
    <row r="737">
      <c r="A737" t="str">
        <v>LBL-SPNGCPA120G</v>
      </c>
      <c r="B737" t="str">
        <v/>
      </c>
      <c r="C737">
        <v>0</v>
      </c>
      <c r="D737" t="str">
        <v>[]</v>
      </c>
    </row>
    <row r="738">
      <c r="A738" t="str">
        <v>LBL-SSCL24G</v>
      </c>
      <c r="B738" t="str">
        <v/>
      </c>
      <c r="C738">
        <v>0</v>
      </c>
      <c r="D738" t="str">
        <v>[]</v>
      </c>
    </row>
    <row r="739">
      <c r="A739" t="str">
        <v>LBL-SSCL24G_NS</v>
      </c>
      <c r="B739" t="str">
        <v>5×48 | 13 l 11</v>
      </c>
      <c r="C739">
        <f>5*48 + 13+11</f>
      </c>
      <c r="D739" t="str">
        <v>["OLD temp specs 02-21-2026","OLD temp specs 02-21-2026","OLD temp specs 02-21-2026"]</v>
      </c>
    </row>
    <row r="740">
      <c r="A740" t="str">
        <v>LBL-SSCL24G-ND</v>
      </c>
      <c r="B740" t="str">
        <v/>
      </c>
      <c r="C740">
        <v>0</v>
      </c>
      <c r="D740" t="str">
        <v>[]</v>
      </c>
    </row>
    <row r="741">
      <c r="A741" t="str">
        <v>LBL-SSCUA90G-800</v>
      </c>
      <c r="B741" t="str">
        <v/>
      </c>
      <c r="C741">
        <v>0</v>
      </c>
      <c r="D741" t="str">
        <v>[]</v>
      </c>
    </row>
    <row r="742">
      <c r="A742" t="str">
        <v>LBL-SSCUA90G8_NS</v>
      </c>
      <c r="B742" t="str">
        <v>7×18 | 12</v>
      </c>
      <c r="C742">
        <f>7*18 + 12</f>
      </c>
      <c r="D742" t="str">
        <v>["APPROVED 02-24-2026","APPROVED 02-24-2026"]</v>
      </c>
    </row>
    <row r="743">
      <c r="A743" t="str">
        <v>LBL-SSCXS5G</v>
      </c>
      <c r="B743" t="str">
        <v/>
      </c>
      <c r="C743">
        <v>0</v>
      </c>
      <c r="D743" t="str">
        <v>[]</v>
      </c>
    </row>
    <row r="744">
      <c r="A744" t="str">
        <v>LBL-SSCXS5G-M</v>
      </c>
      <c r="B744" t="str">
        <v/>
      </c>
      <c r="C744">
        <v>0</v>
      </c>
      <c r="D744" t="str">
        <v>[]</v>
      </c>
    </row>
    <row r="745">
      <c r="A745" t="str">
        <v>LBL-SUN-DAYSTEA-1</v>
      </c>
      <c r="B745" t="str">
        <v/>
      </c>
      <c r="C745">
        <v>0</v>
      </c>
      <c r="D745" t="str">
        <v>[]</v>
      </c>
    </row>
    <row r="746">
      <c r="A746" t="str">
        <v>LBL-TTCLK18G</v>
      </c>
      <c r="B746" t="str">
        <v/>
      </c>
      <c r="C746">
        <v>0</v>
      </c>
      <c r="D746" t="str">
        <v>[]</v>
      </c>
    </row>
    <row r="747">
      <c r="A747" t="str">
        <v>LBL-TTCUA75G</v>
      </c>
      <c r="B747" t="str">
        <v/>
      </c>
      <c r="C747">
        <v>0</v>
      </c>
      <c r="D747" t="str">
        <v>[]</v>
      </c>
    </row>
    <row r="748">
      <c r="A748" t="str">
        <v>LBL-UPLWHA24G</v>
      </c>
      <c r="B748" t="str">
        <v/>
      </c>
      <c r="C748">
        <v>0</v>
      </c>
      <c r="D748" t="str">
        <v>[]</v>
      </c>
    </row>
    <row r="749">
      <c r="A749" t="str">
        <v>LBL-UPLWHA24G_NS</v>
      </c>
      <c r="B749" t="str">
        <v/>
      </c>
      <c r="C749">
        <v>0</v>
      </c>
      <c r="D749" t="str">
        <v>[]</v>
      </c>
    </row>
    <row r="750">
      <c r="A750" t="str">
        <v>LBL-UPLWLS38G</v>
      </c>
      <c r="B750" t="str">
        <v/>
      </c>
      <c r="C750">
        <v>0</v>
      </c>
      <c r="D750" t="str">
        <v>[]</v>
      </c>
    </row>
    <row r="751">
      <c r="A751" t="str">
        <v>LBL-UPLWLS38G_NS</v>
      </c>
      <c r="B751" t="str">
        <v/>
      </c>
      <c r="C751">
        <v>0</v>
      </c>
      <c r="D751" t="str">
        <v>[]</v>
      </c>
    </row>
    <row r="752">
      <c r="A752" t="str">
        <v>LBL-UPLWPA150G</v>
      </c>
      <c r="B752" t="str">
        <v/>
      </c>
      <c r="C752">
        <v>0</v>
      </c>
      <c r="D752" t="str">
        <v>[]</v>
      </c>
    </row>
    <row r="753">
      <c r="A753" t="str">
        <v>LBL-UPLWPA150G-EXP</v>
      </c>
      <c r="B753" t="str">
        <v/>
      </c>
      <c r="C753">
        <v>0</v>
      </c>
      <c r="D753" t="str">
        <v>[]</v>
      </c>
    </row>
    <row r="754">
      <c r="A754" t="str">
        <v>LBL-VFORL22G</v>
      </c>
      <c r="B754" t="str">
        <v/>
      </c>
      <c r="C754">
        <v>0</v>
      </c>
      <c r="D754" t="str">
        <v>[]</v>
      </c>
    </row>
    <row r="755">
      <c r="A755" t="str">
        <v>LBL-VFSCL22G</v>
      </c>
      <c r="B755" t="str">
        <v/>
      </c>
      <c r="C755">
        <v>0</v>
      </c>
      <c r="D755" t="str">
        <v>[]</v>
      </c>
    </row>
    <row r="756">
      <c r="A756" t="str">
        <v>LBL-WAFCHOCCSTE14G</v>
      </c>
      <c r="B756" t="str">
        <v/>
      </c>
      <c r="C756">
        <v>0</v>
      </c>
      <c r="D756" t="str">
        <v>[]</v>
      </c>
    </row>
    <row r="757">
      <c r="A757" t="str">
        <v>LBL-WAFLFNSTE14G</v>
      </c>
      <c r="B757" t="str">
        <v/>
      </c>
      <c r="C757">
        <v>0</v>
      </c>
      <c r="D757" t="str">
        <v>[]</v>
      </c>
    </row>
    <row r="758">
      <c r="A758" t="str">
        <v>LBL-WCCLR28G</v>
      </c>
      <c r="B758" t="str">
        <v/>
      </c>
      <c r="C758">
        <v>0</v>
      </c>
      <c r="D758" t="str">
        <v>[]</v>
      </c>
    </row>
    <row r="759">
      <c r="A759" t="str">
        <v>LBL-WDCLR28G</v>
      </c>
      <c r="B759" t="str">
        <v/>
      </c>
      <c r="C759">
        <v>0</v>
      </c>
      <c r="D759" t="str">
        <v>[]</v>
      </c>
    </row>
    <row r="760">
      <c r="A760" t="str">
        <v>LBL-WFCCCSTE14G</v>
      </c>
      <c r="B760" t="str">
        <v/>
      </c>
      <c r="C760">
        <v>0</v>
      </c>
      <c r="D760" t="str">
        <v>[]</v>
      </c>
    </row>
    <row r="761">
      <c r="A761" t="str">
        <v>LBL-WMCLR28G</v>
      </c>
      <c r="B761" t="str">
        <v/>
      </c>
      <c r="C761">
        <v>0</v>
      </c>
      <c r="D761" t="str">
        <v>[]</v>
      </c>
    </row>
    <row r="762">
      <c r="A762" t="str">
        <v>LBL-WSFCCC-IT</v>
      </c>
      <c r="B762" t="str">
        <v/>
      </c>
      <c r="C762">
        <v>0</v>
      </c>
      <c r="D762" t="str">
        <v>[]</v>
      </c>
    </row>
    <row r="763">
      <c r="A763" t="str">
        <v>LBL-WSFCCC-IT_NS</v>
      </c>
      <c r="B763" t="str">
        <v/>
      </c>
      <c r="C763">
        <v>0</v>
      </c>
      <c r="D763" t="str">
        <v>[]</v>
      </c>
    </row>
    <row r="764">
      <c r="A764" t="str">
        <v>LBL-WSFCHOC-IT</v>
      </c>
      <c r="B764" t="str">
        <v/>
      </c>
      <c r="C764">
        <v>0</v>
      </c>
      <c r="D764" t="str">
        <v>[]</v>
      </c>
    </row>
    <row r="765">
      <c r="A765" t="str">
        <v>LBL-WSFCHOC-IT_NS</v>
      </c>
      <c r="B765" t="str">
        <v/>
      </c>
      <c r="C765">
        <v>0</v>
      </c>
      <c r="D765" t="str">
        <v>[]</v>
      </c>
    </row>
    <row r="766">
      <c r="A766" t="str">
        <v>LBL-WSFLFN-IT</v>
      </c>
      <c r="B766" t="str">
        <v/>
      </c>
      <c r="C766">
        <v>0</v>
      </c>
      <c r="D766" t="str">
        <v>[]</v>
      </c>
    </row>
    <row r="767">
      <c r="A767" t="str">
        <v>LBL-WSFLFN-IT_NS</v>
      </c>
      <c r="B767" t="str">
        <v/>
      </c>
      <c r="C767">
        <v>0</v>
      </c>
      <c r="D767" t="str">
        <v>[]</v>
      </c>
    </row>
    <row r="768">
      <c r="A768" t="str">
        <v>LBL-ZGCHO-DA</v>
      </c>
      <c r="B768" t="str">
        <v/>
      </c>
      <c r="C768">
        <v>0</v>
      </c>
      <c r="D768" t="str">
        <v>[]</v>
      </c>
    </row>
    <row r="769">
      <c r="A769" t="str">
        <v>LBL-ZGCHO-LS36G</v>
      </c>
      <c r="B769" t="str">
        <v/>
      </c>
      <c r="C769">
        <v>0</v>
      </c>
      <c r="D769" t="str">
        <v>[]</v>
      </c>
    </row>
    <row r="770">
      <c r="A770" t="str">
        <v>1</v>
      </c>
      <c r="B770" t="str">
        <v/>
      </c>
      <c r="C770">
        <v>0</v>
      </c>
      <c r="D770" t="str">
        <v>[]</v>
      </c>
    </row>
    <row r="771">
      <c r="A771" t="str">
        <v>RTD ITEMS</v>
      </c>
      <c r="B771" t="str">
        <v/>
      </c>
      <c r="C771">
        <v>0</v>
      </c>
      <c r="D771" t="str">
        <v>[]</v>
      </c>
    </row>
    <row r="772">
      <c r="A772" t="str">
        <v>BTL-HFP15GMS</v>
      </c>
      <c r="B772" t="str">
        <v/>
      </c>
      <c r="C772">
        <v>0</v>
      </c>
      <c r="D772" t="str">
        <v>[]</v>
      </c>
    </row>
    <row r="773">
      <c r="A773" t="str">
        <v>BTL-HFP17GMS</v>
      </c>
      <c r="B773" t="str">
        <v/>
      </c>
      <c r="C773">
        <v>0</v>
      </c>
      <c r="D773" t="str">
        <v>[]</v>
      </c>
    </row>
    <row r="774">
      <c r="A774" t="str">
        <v>BTL-HFP18GMS</v>
      </c>
      <c r="B774" t="str">
        <v/>
      </c>
      <c r="C774">
        <v>0</v>
      </c>
      <c r="D774" t="str">
        <v>[]</v>
      </c>
    </row>
    <row r="775">
      <c r="A775" t="str">
        <v>BTL-HFP20GMS</v>
      </c>
      <c r="B775" t="str">
        <v/>
      </c>
      <c r="C775">
        <v>0</v>
      </c>
      <c r="D775" t="str">
        <v>[]</v>
      </c>
    </row>
    <row r="776">
      <c r="A776" t="str">
        <v>BTL-HFP20GMS-CSD</v>
      </c>
      <c r="B776" t="str">
        <v/>
      </c>
      <c r="C776">
        <v>0</v>
      </c>
      <c r="D776" t="str">
        <v>[]</v>
      </c>
    </row>
    <row r="777">
      <c r="A777" t="str">
        <v>BTL-HFP22GMS</v>
      </c>
      <c r="B777" t="str">
        <v/>
      </c>
      <c r="C777">
        <v>0</v>
      </c>
      <c r="D777" t="str">
        <v>[]</v>
      </c>
    </row>
    <row r="778">
      <c r="A778" t="str">
        <v>BTL-HFP23GMS</v>
      </c>
      <c r="B778" t="str">
        <v/>
      </c>
      <c r="C778">
        <v>0</v>
      </c>
      <c r="D778" t="str">
        <v>[]</v>
      </c>
    </row>
    <row r="779">
      <c r="A779" t="str">
        <v>BTL-HFP25GMS-CSD</v>
      </c>
      <c r="B779" t="str">
        <v/>
      </c>
      <c r="C779">
        <v>0</v>
      </c>
      <c r="D779" t="str">
        <v>[]</v>
      </c>
    </row>
    <row r="780">
      <c r="A780" t="str">
        <v>BTL-HFP27GMS</v>
      </c>
      <c r="B780" t="str">
        <v/>
      </c>
      <c r="C780">
        <v>0</v>
      </c>
      <c r="D780" t="str">
        <v>[]</v>
      </c>
    </row>
    <row r="781">
      <c r="A781" t="str">
        <v>BTL-HFP27.5GMS</v>
      </c>
      <c r="B781" t="str">
        <v/>
      </c>
      <c r="C781">
        <v>0</v>
      </c>
      <c r="D781" t="str">
        <v>[]</v>
      </c>
    </row>
    <row r="782">
      <c r="A782" t="str">
        <v>BTL-HFP28GMS-CSD</v>
      </c>
      <c r="B782" t="str">
        <v/>
      </c>
      <c r="C782">
        <v>0</v>
      </c>
      <c r="D782" t="str">
        <v>[]</v>
      </c>
    </row>
    <row r="783">
      <c r="A783" t="str">
        <v>BTL-HFP40</v>
      </c>
      <c r="B783" t="str">
        <v/>
      </c>
      <c r="C783">
        <v>0</v>
      </c>
      <c r="D783" t="str">
        <v>[]</v>
      </c>
    </row>
    <row r="784">
      <c r="A784" t="str">
        <v>BTL-HFP42</v>
      </c>
      <c r="B784" t="str">
        <v/>
      </c>
      <c r="C784">
        <v>0</v>
      </c>
      <c r="D784" t="str">
        <v>[]</v>
      </c>
    </row>
    <row r="785">
      <c r="A785" t="str">
        <v>CAP-FF-PINK</v>
      </c>
      <c r="B785" t="str">
        <v/>
      </c>
      <c r="C785">
        <v>0</v>
      </c>
      <c r="D785" t="str">
        <v>[]</v>
      </c>
    </row>
    <row r="786">
      <c r="A786" t="str">
        <v>CAP-FF-RED</v>
      </c>
      <c r="B786" t="str">
        <v/>
      </c>
      <c r="C786">
        <v>0</v>
      </c>
      <c r="D786" t="str">
        <v>[]</v>
      </c>
    </row>
    <row r="787">
      <c r="A787" t="str">
        <v>CAP-FF-VIOLET</v>
      </c>
      <c r="B787" t="str">
        <v/>
      </c>
      <c r="C787">
        <v>0</v>
      </c>
      <c r="D787" t="str">
        <v>[]</v>
      </c>
    </row>
    <row r="788">
      <c r="A788" t="str">
        <v>CAP-HELI23</v>
      </c>
      <c r="B788" t="str">
        <v/>
      </c>
      <c r="C788">
        <v>0</v>
      </c>
      <c r="D788" t="str">
        <v>[]</v>
      </c>
    </row>
    <row r="789">
      <c r="A789" t="str">
        <v>CAP-HFP-DK-GRN</v>
      </c>
      <c r="B789" t="str">
        <v/>
      </c>
      <c r="C789">
        <v>0</v>
      </c>
      <c r="D789" t="str">
        <v>[]</v>
      </c>
    </row>
    <row r="790">
      <c r="A790" t="str">
        <v>CAP-HFP-GRN</v>
      </c>
      <c r="B790" t="str">
        <v/>
      </c>
      <c r="C790">
        <v>0</v>
      </c>
      <c r="D790" t="str">
        <v>[]</v>
      </c>
    </row>
    <row r="791">
      <c r="A791" t="str">
        <v>CAP-HFP-ORN</v>
      </c>
      <c r="B791" t="str">
        <v/>
      </c>
      <c r="C791">
        <v>0</v>
      </c>
      <c r="D791" t="str">
        <v>[]</v>
      </c>
    </row>
    <row r="792">
      <c r="A792" t="str">
        <v>CAP-HFP-PINK</v>
      </c>
      <c r="B792" t="str">
        <v/>
      </c>
      <c r="C792">
        <v>0</v>
      </c>
      <c r="D792" t="str">
        <v>[]</v>
      </c>
    </row>
    <row r="793">
      <c r="A793" t="str">
        <v>CAP-HFP-YLW</v>
      </c>
      <c r="B793" t="str">
        <v/>
      </c>
      <c r="C793">
        <v>0</v>
      </c>
      <c r="D793" t="str">
        <v>[]</v>
      </c>
    </row>
    <row r="794">
      <c r="A794" t="str">
        <v>CAP-OFRZ-LT-GRN</v>
      </c>
      <c r="B794" t="str">
        <v/>
      </c>
      <c r="C794">
        <v>0</v>
      </c>
      <c r="D794" t="str">
        <v>[]</v>
      </c>
    </row>
    <row r="795">
      <c r="A795" t="str">
        <v>CAP-SC-BRWN</v>
      </c>
      <c r="B795" t="str">
        <v/>
      </c>
      <c r="C795">
        <v>0</v>
      </c>
      <c r="D795" t="str">
        <v>[]</v>
      </c>
    </row>
    <row r="796">
      <c r="A796" t="str">
        <v>CAP-SC-RED</v>
      </c>
      <c r="B796" t="str">
        <v/>
      </c>
      <c r="C796">
        <v>0</v>
      </c>
      <c r="D796" t="str">
        <v>[]</v>
      </c>
    </row>
    <row r="797">
      <c r="A797" t="str">
        <v>CAP-OTG-DK-GRN</v>
      </c>
      <c r="B797" t="str">
        <v/>
      </c>
      <c r="C797">
        <v>0</v>
      </c>
      <c r="D797" t="str">
        <v>[]</v>
      </c>
    </row>
    <row r="798">
      <c r="A798" t="str">
        <v>CAP-OTG-RED</v>
      </c>
      <c r="B798" t="str">
        <v/>
      </c>
      <c r="C798">
        <v>0</v>
      </c>
      <c r="D798" t="str">
        <v>[]</v>
      </c>
    </row>
    <row r="799">
      <c r="A799" t="str">
        <v>CAP-OTG-YLW</v>
      </c>
      <c r="B799" t="str">
        <v/>
      </c>
      <c r="C799">
        <v>0</v>
      </c>
      <c r="D799" t="str">
        <v>[]</v>
      </c>
    </row>
    <row r="800">
      <c r="A800" t="str">
        <v>CTN-FF-350ML-3IN1</v>
      </c>
      <c r="B800" t="str">
        <v/>
      </c>
      <c r="C800">
        <v>0</v>
      </c>
      <c r="D800" t="str">
        <v>[]</v>
      </c>
    </row>
    <row r="801">
      <c r="A801" t="str">
        <v>CTN-FF-500ML-3IN1</v>
      </c>
      <c r="B801" t="str">
        <v/>
      </c>
      <c r="C801">
        <v>0</v>
      </c>
      <c r="D801" t="str">
        <v>[]</v>
      </c>
    </row>
    <row r="802">
      <c r="A802" t="str">
        <v>CTN-FRZ-230ML</v>
      </c>
      <c r="B802" t="str">
        <v/>
      </c>
      <c r="C802">
        <v>0</v>
      </c>
      <c r="D802" t="str">
        <v>[]</v>
      </c>
    </row>
    <row r="803">
      <c r="A803" t="str">
        <v>CTN-OOGYD200ML</v>
      </c>
      <c r="B803" t="str">
        <v/>
      </c>
      <c r="C803">
        <v>0</v>
      </c>
      <c r="D803" t="str">
        <v>[]</v>
      </c>
    </row>
    <row r="804">
      <c r="A804" t="str">
        <v>CTN-OSQ1L</v>
      </c>
      <c r="B804" t="str">
        <v/>
      </c>
      <c r="C804">
        <v>0</v>
      </c>
      <c r="D804" t="str">
        <v>[]</v>
      </c>
    </row>
    <row r="805">
      <c r="A805" t="str">
        <v>CTN-OTG-3IN1</v>
      </c>
      <c r="B805" t="str">
        <v/>
      </c>
      <c r="C805">
        <v>0</v>
      </c>
      <c r="D805" t="str">
        <v>[]</v>
      </c>
    </row>
    <row r="806">
      <c r="A806" t="str">
        <v>CTN-OTM-2IN1-250ML</v>
      </c>
      <c r="B806" t="str">
        <v/>
      </c>
      <c r="C806">
        <v>0</v>
      </c>
      <c r="D806" t="str">
        <v>[]</v>
      </c>
    </row>
    <row r="807">
      <c r="A807" t="str">
        <v>CTN-SMART-C1L-3-1</v>
      </c>
      <c r="B807" t="str">
        <v/>
      </c>
      <c r="C807">
        <v>0</v>
      </c>
      <c r="D807" t="str">
        <v>[]</v>
      </c>
    </row>
    <row r="808">
      <c r="A808" t="str">
        <v>CTN-SMART-C-1L-P</v>
      </c>
      <c r="B808" t="str">
        <v/>
      </c>
      <c r="C808">
        <v>0</v>
      </c>
      <c r="D808" t="str">
        <v>[]</v>
      </c>
    </row>
    <row r="809">
      <c r="A809" t="str">
        <v>CTN-SMART-C1L-4IN1</v>
      </c>
      <c r="B809" t="str">
        <v/>
      </c>
      <c r="C809">
        <v>0</v>
      </c>
      <c r="D809" t="str">
        <v>[]</v>
      </c>
    </row>
    <row r="810">
      <c r="A810" t="str">
        <v>CTN-SMART-C350-5-1</v>
      </c>
      <c r="B810" t="str">
        <v/>
      </c>
      <c r="C810">
        <v>0</v>
      </c>
      <c r="D810" t="str">
        <v>[]</v>
      </c>
    </row>
    <row r="811">
      <c r="A811" t="str">
        <v>CTN-SMART-C-350ML</v>
      </c>
      <c r="B811" t="str">
        <v/>
      </c>
      <c r="C811">
        <v>0</v>
      </c>
      <c r="D811" t="str">
        <v>[]</v>
      </c>
    </row>
    <row r="812">
      <c r="A812" t="str">
        <v>CTN-SMART-C500-5-1</v>
      </c>
      <c r="B812" t="str">
        <v/>
      </c>
      <c r="C812">
        <v>0</v>
      </c>
      <c r="D812" t="str">
        <v>[]</v>
      </c>
    </row>
    <row r="813">
      <c r="A813" t="str">
        <v>CTN-SMART-C-500ML</v>
      </c>
      <c r="B813" t="str">
        <v/>
      </c>
      <c r="C813">
        <v>0</v>
      </c>
      <c r="D813" t="str">
        <v>[]</v>
      </c>
    </row>
    <row r="814">
      <c r="A814" t="str">
        <v>LBL-FNFA-JD350ML</v>
      </c>
      <c r="B814" t="str">
        <v/>
      </c>
      <c r="C814">
        <v>0</v>
      </c>
      <c r="D814" t="str">
        <v>[]</v>
      </c>
    </row>
    <row r="815">
      <c r="A815" t="str">
        <v>LBL-FNFA-JD500ML</v>
      </c>
      <c r="B815" t="str">
        <v/>
      </c>
      <c r="C815">
        <v>0</v>
      </c>
      <c r="D815" t="str">
        <v>[]</v>
      </c>
    </row>
    <row r="816">
      <c r="A816" t="str">
        <v>LBL-FNFG-JD350ML</v>
      </c>
      <c r="B816" t="str">
        <v/>
      </c>
      <c r="C816">
        <v>0</v>
      </c>
      <c r="D816" t="str">
        <v>[]</v>
      </c>
    </row>
    <row r="817">
      <c r="A817" t="str">
        <v>LBL-FNFG-JD500ML</v>
      </c>
      <c r="B817" t="str">
        <v/>
      </c>
      <c r="C817">
        <v>0</v>
      </c>
      <c r="D817" t="str">
        <v>[]</v>
      </c>
    </row>
    <row r="818">
      <c r="A818" t="str">
        <v>LBL-FNFP-JD350ML</v>
      </c>
      <c r="B818" t="str">
        <v/>
      </c>
      <c r="C818">
        <v>0</v>
      </c>
      <c r="D818" t="str">
        <v>[]</v>
      </c>
    </row>
    <row r="819">
      <c r="A819" t="str">
        <v>LBL-FNFP-JD500ML</v>
      </c>
      <c r="B819" t="str">
        <v/>
      </c>
      <c r="C819">
        <v>0</v>
      </c>
      <c r="D819" t="str">
        <v>[]</v>
      </c>
    </row>
    <row r="820">
      <c r="A820" t="str">
        <v>LBL-OFRZ-APL230</v>
      </c>
      <c r="B820" t="str">
        <v/>
      </c>
      <c r="C820">
        <v>0</v>
      </c>
      <c r="D820" t="str">
        <v>[]</v>
      </c>
    </row>
    <row r="821">
      <c r="A821" t="str">
        <v>LBL-OFRZ-ORN230</v>
      </c>
      <c r="B821" t="str">
        <v/>
      </c>
      <c r="C821">
        <v>0</v>
      </c>
      <c r="D821" t="str">
        <v>[]</v>
      </c>
    </row>
    <row r="822">
      <c r="A822" t="str">
        <v>LBL-OFRZ-PNA230</v>
      </c>
      <c r="B822" t="str">
        <v/>
      </c>
      <c r="C822">
        <v>0</v>
      </c>
      <c r="D822" t="str">
        <v>[]</v>
      </c>
    </row>
    <row r="823">
      <c r="A823" t="str">
        <v>LBL-OTG-ITA-500ML</v>
      </c>
      <c r="B823" t="str">
        <v/>
      </c>
      <c r="C823">
        <v>0</v>
      </c>
      <c r="D823" t="str">
        <v>[]</v>
      </c>
    </row>
    <row r="824">
      <c r="A824" t="str">
        <v>LBL-OTG-ITL-500ML</v>
      </c>
      <c r="B824" t="str">
        <v/>
      </c>
      <c r="C824">
        <v>0</v>
      </c>
      <c r="D824" t="str">
        <v>[]</v>
      </c>
    </row>
    <row r="825">
      <c r="A825" t="str">
        <v>LBL-OTG-ITLC-500ML</v>
      </c>
      <c r="B825" t="str">
        <v/>
      </c>
      <c r="C825">
        <v>0</v>
      </c>
      <c r="D825" t="str">
        <v>[]</v>
      </c>
    </row>
    <row r="826">
      <c r="A826" t="str">
        <v>LBL-SCCD-JD500</v>
      </c>
      <c r="B826" t="str">
        <v/>
      </c>
      <c r="C826">
        <v>0</v>
      </c>
      <c r="D826" t="str">
        <v>[]</v>
      </c>
    </row>
    <row r="827">
      <c r="A827" t="str">
        <v>LBL-SCCS-JD350</v>
      </c>
      <c r="B827" t="str">
        <v/>
      </c>
      <c r="C827">
        <v>0</v>
      </c>
      <c r="D827" t="str">
        <v>[]</v>
      </c>
    </row>
    <row r="828">
      <c r="A828" t="str">
        <v>LBL-SCCS-JD500</v>
      </c>
      <c r="B828" t="str">
        <v/>
      </c>
      <c r="C828">
        <v>0</v>
      </c>
      <c r="D828" t="str">
        <v>[]</v>
      </c>
    </row>
    <row r="829">
      <c r="A829" t="str">
        <v>LBL-SCCS-JD1000-V</v>
      </c>
      <c r="B829" t="str">
        <v/>
      </c>
      <c r="C829">
        <v>0</v>
      </c>
      <c r="D829" t="str">
        <v>[]</v>
      </c>
    </row>
    <row r="830">
      <c r="A830" t="str">
        <v>LBL-SCDB-JD350</v>
      </c>
      <c r="B830" t="str">
        <v/>
      </c>
      <c r="C830">
        <v>0</v>
      </c>
      <c r="D830" t="str">
        <v>[]</v>
      </c>
    </row>
    <row r="831">
      <c r="A831" t="str">
        <v>LBL-SCDB-JD500</v>
      </c>
      <c r="B831" t="str">
        <v/>
      </c>
      <c r="C831">
        <v>0</v>
      </c>
      <c r="D831" t="str">
        <v>[]</v>
      </c>
    </row>
    <row r="832">
      <c r="A832" t="str">
        <v>LBL-SCHC-JD500</v>
      </c>
      <c r="B832" t="str">
        <v/>
      </c>
      <c r="C832">
        <v>0</v>
      </c>
      <c r="D832" t="str">
        <v>[]</v>
      </c>
    </row>
    <row r="833">
      <c r="A833" t="str">
        <v>LBL-SCLS-JD1000</v>
      </c>
      <c r="B833" t="str">
        <v/>
      </c>
      <c r="C833">
        <v>0</v>
      </c>
      <c r="D833" t="str">
        <v>[]</v>
      </c>
    </row>
    <row r="834">
      <c r="A834" t="str">
        <v>LBL-SCLS-JD350</v>
      </c>
      <c r="B834" t="str">
        <v/>
      </c>
      <c r="C834">
        <v>0</v>
      </c>
      <c r="D834" t="str">
        <v>[]</v>
      </c>
    </row>
    <row r="835">
      <c r="A835" t="str">
        <v>LBL-SCLS-JD500</v>
      </c>
      <c r="B835" t="str">
        <v/>
      </c>
      <c r="C835">
        <v>0</v>
      </c>
      <c r="D835" t="str">
        <v>[]</v>
      </c>
    </row>
    <row r="836">
      <c r="A836" t="str">
        <v>LBL-SCOC-JD1000</v>
      </c>
      <c r="B836" t="str">
        <v/>
      </c>
      <c r="C836">
        <v>0</v>
      </c>
      <c r="D836" t="str">
        <v>[]</v>
      </c>
    </row>
    <row r="837">
      <c r="A837" t="str">
        <v>LBL-SCOC-JD350</v>
      </c>
      <c r="B837" t="str">
        <v/>
      </c>
      <c r="C837">
        <v>0</v>
      </c>
      <c r="D837" t="str">
        <v>[]</v>
      </c>
    </row>
    <row r="838">
      <c r="A838" t="str">
        <v>LBL-SCOC-JD500</v>
      </c>
      <c r="B838" t="str">
        <v/>
      </c>
      <c r="C838">
        <v>0</v>
      </c>
      <c r="D838" t="str">
        <v>[]</v>
      </c>
    </row>
    <row r="839">
      <c r="A839" t="str">
        <v>LBL-SCPG-JD1000</v>
      </c>
      <c r="B839" t="str">
        <v/>
      </c>
      <c r="C839">
        <v>0</v>
      </c>
      <c r="D839" t="str">
        <v>[]</v>
      </c>
    </row>
    <row r="840">
      <c r="A840" t="str">
        <v>LBL-SCPG-JD350</v>
      </c>
      <c r="B840" t="str">
        <v/>
      </c>
      <c r="C840">
        <v>0</v>
      </c>
      <c r="D840" t="str">
        <v>[]</v>
      </c>
    </row>
    <row r="841">
      <c r="A841" t="str">
        <v>LBL-SCPG-JD500</v>
      </c>
      <c r="B841" t="str">
        <v/>
      </c>
      <c r="C841">
        <v>0</v>
      </c>
      <c r="D841" t="str">
        <v>[]</v>
      </c>
    </row>
    <row r="842">
      <c r="A842" t="str">
        <v>2</v>
      </c>
      <c r="B842" t="str">
        <v/>
      </c>
      <c r="C842">
        <v>0</v>
      </c>
      <c r="D842" t="str">
        <v>[]</v>
      </c>
    </row>
    <row r="843">
      <c r="A843" t="str">
        <v>INK/P-TWINE/TAPES</v>
      </c>
      <c r="B843" t="str">
        <v/>
      </c>
      <c r="C843">
        <v>0</v>
      </c>
      <c r="D843" t="str">
        <v>[]</v>
      </c>
    </row>
    <row r="844">
      <c r="A844" t="str">
        <v>INK-EDM-22MM-CH</v>
      </c>
      <c r="B844" t="str">
        <v/>
      </c>
      <c r="C844">
        <v>0</v>
      </c>
      <c r="D844" t="str">
        <v>[]</v>
      </c>
    </row>
    <row r="845">
      <c r="A845" t="str">
        <v>INK-EDM-22MM-CH-HF</v>
      </c>
      <c r="B845" t="str">
        <v/>
      </c>
      <c r="C845">
        <v>0</v>
      </c>
      <c r="D845" t="str">
        <v>[]</v>
      </c>
    </row>
    <row r="846">
      <c r="A846" t="str">
        <v>INK-EDM-30MM-CH</v>
      </c>
      <c r="B846" t="str">
        <v/>
      </c>
      <c r="C846">
        <v>0</v>
      </c>
      <c r="D846" t="str">
        <v>[]</v>
      </c>
    </row>
    <row r="847">
      <c r="A847" t="str">
        <v>INK-EDM-30MM-CH-HF</v>
      </c>
      <c r="B847" t="str">
        <v/>
      </c>
      <c r="C847">
        <v>0</v>
      </c>
      <c r="D847" t="str">
        <v>[]</v>
      </c>
    </row>
    <row r="848">
      <c r="A848" t="str">
        <v>INK-MARKEM</v>
      </c>
      <c r="B848" t="str">
        <v/>
      </c>
      <c r="C848">
        <v>0</v>
      </c>
      <c r="D848" t="str">
        <v>[]</v>
      </c>
    </row>
    <row r="849">
      <c r="A849" t="str">
        <v>INK-ROLL</v>
      </c>
      <c r="B849" t="str">
        <v/>
      </c>
      <c r="C849">
        <v>0</v>
      </c>
      <c r="D849" t="str">
        <v>[]</v>
      </c>
    </row>
    <row r="850">
      <c r="A850" t="str">
        <v>INK-TPO#8</v>
      </c>
      <c r="B850" t="str">
        <v/>
      </c>
      <c r="C850">
        <v>0</v>
      </c>
      <c r="D850" t="str">
        <v>[]</v>
      </c>
    </row>
    <row r="851">
      <c r="A851" t="str">
        <v>INK-TTO-HFCP-12</v>
      </c>
      <c r="B851" t="str">
        <v/>
      </c>
      <c r="C851">
        <v>0</v>
      </c>
      <c r="D851" t="str">
        <v>[]</v>
      </c>
    </row>
    <row r="852">
      <c r="A852" t="str">
        <v>SUP-BAGCLOSER</v>
      </c>
      <c r="B852" t="str">
        <v/>
      </c>
      <c r="C852">
        <v>0</v>
      </c>
      <c r="D852" t="str">
        <v>[]</v>
      </c>
    </row>
    <row r="853">
      <c r="A853" t="str">
        <v>P-TWINE-S</v>
      </c>
      <c r="B853" t="str">
        <v/>
      </c>
      <c r="C853">
        <v>0</v>
      </c>
      <c r="D853" t="str">
        <v>[]</v>
      </c>
    </row>
    <row r="854">
      <c r="A854" t="str">
        <v>P-TWINE-S-GRN</v>
      </c>
      <c r="B854" t="str">
        <v/>
      </c>
      <c r="C854">
        <v>0</v>
      </c>
      <c r="D854" t="str">
        <v>[]</v>
      </c>
    </row>
    <row r="855">
      <c r="A855" t="str">
        <v>P-TWINE-S-RED</v>
      </c>
      <c r="B855" t="str">
        <v/>
      </c>
      <c r="C855">
        <v>0</v>
      </c>
      <c r="D855" t="str">
        <v>[]</v>
      </c>
    </row>
    <row r="856">
      <c r="A856" t="str">
        <v>P-TWINE-S-WHT</v>
      </c>
      <c r="B856" t="str">
        <v/>
      </c>
      <c r="C856">
        <v>0</v>
      </c>
      <c r="D856" t="str">
        <v>[]</v>
      </c>
    </row>
    <row r="857">
      <c r="A857" t="str">
        <v>P-TWINE-S-YLW</v>
      </c>
      <c r="B857" t="str">
        <v/>
      </c>
      <c r="C857">
        <v>0</v>
      </c>
      <c r="D857" t="str">
        <v>[]</v>
      </c>
    </row>
    <row r="858">
      <c r="A858" t="str">
        <v>P-TWINE-S-ORN</v>
      </c>
      <c r="B858" t="str">
        <v/>
      </c>
      <c r="C858">
        <v>0</v>
      </c>
      <c r="D858" t="str">
        <v>[]</v>
      </c>
    </row>
    <row r="859">
      <c r="A859" t="str">
        <v>SUP-S-FILM</v>
      </c>
      <c r="B859" t="str">
        <v/>
      </c>
      <c r="C859">
        <v>0</v>
      </c>
      <c r="D859" t="str">
        <v>[]</v>
      </c>
    </row>
    <row r="860">
      <c r="A860" t="str">
        <v>POLYSHEET-40X.006</v>
      </c>
      <c r="B860" t="str">
        <v/>
      </c>
      <c r="C860">
        <v>0</v>
      </c>
      <c r="D860" t="str">
        <v>[]</v>
      </c>
    </row>
    <row r="861">
      <c r="A861" t="str">
        <v>TPE-CLEARTAPE-1</v>
      </c>
      <c r="B861" t="str">
        <v/>
      </c>
      <c r="C861">
        <v>0</v>
      </c>
      <c r="D861" t="str">
        <v>[]</v>
      </c>
    </row>
    <row r="862">
      <c r="A862" t="str">
        <v>TPE-CLEARTAPE-10</v>
      </c>
      <c r="B862" t="str">
        <v/>
      </c>
      <c r="C862">
        <v>0</v>
      </c>
      <c r="D862" t="str">
        <v>[]</v>
      </c>
    </row>
    <row r="863">
      <c r="A863" t="str">
        <v>TPE-CLEARTAPE-2</v>
      </c>
      <c r="B863" t="str">
        <v/>
      </c>
      <c r="C863">
        <v>0</v>
      </c>
      <c r="D863" t="str">
        <v>[]</v>
      </c>
    </row>
    <row r="864">
      <c r="A864" t="str">
        <v>TPE-GUMMEDTAPE</v>
      </c>
      <c r="B864" t="str">
        <v/>
      </c>
      <c r="C864">
        <v>0</v>
      </c>
      <c r="D864" t="str">
        <v>[]</v>
      </c>
    </row>
    <row r="865">
      <c r="A865" t="str">
        <v>TPE-PKGTAPE-BL</v>
      </c>
      <c r="B865" t="str">
        <v/>
      </c>
      <c r="C865">
        <v>0</v>
      </c>
      <c r="D865" t="str">
        <v>[]</v>
      </c>
    </row>
    <row r="866">
      <c r="A866" t="str">
        <v>TPE-PKGTAPE-GRN</v>
      </c>
      <c r="B866" t="str">
        <v/>
      </c>
      <c r="C866">
        <v>0</v>
      </c>
      <c r="D866" t="str">
        <v>[]</v>
      </c>
    </row>
    <row r="867">
      <c r="A867" t="str">
        <v>TPE-PKGTAPE-ORN</v>
      </c>
      <c r="B867" t="str">
        <v/>
      </c>
      <c r="C867">
        <v>0</v>
      </c>
      <c r="D867" t="str">
        <v>[]</v>
      </c>
    </row>
    <row r="868">
      <c r="A868" t="str">
        <v>TPE-PKGTAPE-RED</v>
      </c>
      <c r="B868" t="str">
        <v/>
      </c>
      <c r="C868">
        <v>0</v>
      </c>
      <c r="D868" t="str">
        <v>[]</v>
      </c>
    </row>
    <row r="869">
      <c r="A869" t="str">
        <v>TPE-PKGTAPE-TAN</v>
      </c>
      <c r="B869" t="str">
        <v/>
      </c>
      <c r="C869">
        <v>0</v>
      </c>
      <c r="D869" t="str">
        <v>[]</v>
      </c>
    </row>
    <row r="870">
      <c r="A870" t="str">
        <v>TPE-PKGTAPE-WHT</v>
      </c>
      <c r="B870" t="str">
        <v/>
      </c>
      <c r="C870">
        <v>0</v>
      </c>
      <c r="D870" t="str">
        <v>[]</v>
      </c>
    </row>
    <row r="871">
      <c r="A871" t="str">
        <v>TPE-PKGTAPE-YLW</v>
      </c>
      <c r="B871" t="str">
        <v/>
      </c>
      <c r="C871">
        <v>0</v>
      </c>
      <c r="D871" t="str">
        <v>[]</v>
      </c>
    </row>
    <row r="872">
      <c r="A872" t="str">
        <v>3</v>
      </c>
      <c r="B872" t="str">
        <v/>
      </c>
      <c r="C872">
        <v>0</v>
      </c>
      <c r="D872" t="str">
        <v>[]</v>
      </c>
    </row>
    <row r="873">
      <c r="A873" t="str">
        <v>VIETNAM</v>
      </c>
      <c r="B873" t="str">
        <v/>
      </c>
      <c r="C873">
        <v>0</v>
      </c>
      <c r="D873" t="str">
        <v>[]</v>
      </c>
    </row>
    <row r="874">
      <c r="A874" t="str">
        <v>LBL-BGML24G-V</v>
      </c>
      <c r="B874" t="str">
        <v/>
      </c>
      <c r="C874">
        <v>0</v>
      </c>
      <c r="D874" t="str">
        <v>[]</v>
      </c>
    </row>
    <row r="875">
      <c r="A875" t="str">
        <v>LBL-BGML24G-VL-ND</v>
      </c>
      <c r="B875" t="str">
        <v/>
      </c>
      <c r="C875">
        <v>0</v>
      </c>
      <c r="D875" t="str">
        <v>[]</v>
      </c>
    </row>
    <row r="876">
      <c r="A876" t="str">
        <v>LBL-CHCLBLB23G-V</v>
      </c>
      <c r="B876" t="str">
        <v/>
      </c>
      <c r="C876">
        <v>0</v>
      </c>
      <c r="D876" t="str">
        <v>[]</v>
      </c>
    </row>
    <row r="877">
      <c r="A877" t="str">
        <v>LBL-CHCLBLB23-V-ND</v>
      </c>
      <c r="B877" t="str">
        <v/>
      </c>
      <c r="C877">
        <v>0</v>
      </c>
      <c r="D877" t="str">
        <v>[]</v>
      </c>
    </row>
    <row r="878">
      <c r="A878" t="str">
        <v>LBL-COCL22G-V</v>
      </c>
      <c r="B878" t="str">
        <v/>
      </c>
      <c r="C878">
        <v>0</v>
      </c>
      <c r="D878" t="str">
        <v>[]</v>
      </c>
    </row>
    <row r="879">
      <c r="A879" t="str">
        <v>LBL-COCL22G-V-ND</v>
      </c>
      <c r="B879" t="str">
        <v/>
      </c>
      <c r="C879">
        <v>0</v>
      </c>
      <c r="D879" t="str">
        <v>[]</v>
      </c>
    </row>
    <row r="880">
      <c r="A880" t="str">
        <v>LBL-COL22G-V</v>
      </c>
      <c r="B880" t="str">
        <v/>
      </c>
      <c r="C880">
        <v>0</v>
      </c>
      <c r="D880" t="str">
        <v>[]</v>
      </c>
    </row>
    <row r="881">
      <c r="A881" t="str">
        <v>LBL-CRPL24G-V</v>
      </c>
      <c r="B881" t="str">
        <v/>
      </c>
      <c r="C881">
        <v>0</v>
      </c>
      <c r="D881" t="str">
        <v>[]</v>
      </c>
    </row>
    <row r="882">
      <c r="A882" t="str">
        <v>LBL-GCHCRL22G-V</v>
      </c>
      <c r="B882" t="str">
        <v/>
      </c>
      <c r="C882">
        <v>0</v>
      </c>
      <c r="D882" t="str">
        <v>[]</v>
      </c>
    </row>
    <row r="883">
      <c r="A883" t="str">
        <v>LBL-KYF-L20G-V</v>
      </c>
      <c r="B883" t="str">
        <v/>
      </c>
      <c r="C883">
        <v>0</v>
      </c>
      <c r="D883" t="str">
        <v>[]</v>
      </c>
    </row>
    <row r="884">
      <c r="A884" t="str">
        <v>LBL-MCPSLK26G-V</v>
      </c>
      <c r="B884" t="str">
        <v/>
      </c>
      <c r="C884">
        <v>0</v>
      </c>
      <c r="D884" t="str">
        <v>[]</v>
      </c>
    </row>
    <row r="885">
      <c r="A885" t="str">
        <v>LBL-MCSVFLK26G-V</v>
      </c>
      <c r="B885" t="str">
        <v/>
      </c>
      <c r="C885">
        <v>0</v>
      </c>
      <c r="D885" t="str">
        <v>[]</v>
      </c>
    </row>
    <row r="886">
      <c r="A886" t="str">
        <v>LBL-MCSVLK26G-V</v>
      </c>
      <c r="B886" t="str">
        <v/>
      </c>
      <c r="C886">
        <v>0</v>
      </c>
      <c r="D886" t="str">
        <v>[]</v>
      </c>
    </row>
    <row r="887">
      <c r="A887" t="str">
        <v>LBL-OFCL24G-V</v>
      </c>
      <c r="B887" t="str">
        <v/>
      </c>
      <c r="C887">
        <v>0</v>
      </c>
      <c r="D887" t="str">
        <v>[]</v>
      </c>
    </row>
    <row r="888">
      <c r="A888" t="str">
        <v>LBL-OFCL24G-VL-ND</v>
      </c>
      <c r="B888" t="str">
        <v>3×48 | 43</v>
      </c>
      <c r="C888">
        <f>3*48 + 43</f>
      </c>
      <c r="D888" t="str">
        <v>["OLD","FIRST OUT"]</v>
      </c>
    </row>
    <row r="889">
      <c r="A889" t="str">
        <v>LBL-OMGCL28G-V</v>
      </c>
      <c r="B889" t="str">
        <v/>
      </c>
      <c r="C889">
        <v>0</v>
      </c>
      <c r="D889" t="str">
        <v>[]</v>
      </c>
    </row>
    <row r="890">
      <c r="A890" t="str">
        <v>LBL-OORL16G-V-ND</v>
      </c>
      <c r="B890" t="str">
        <v/>
      </c>
      <c r="C890">
        <v>0</v>
      </c>
      <c r="D890" t="str">
        <v>[]</v>
      </c>
    </row>
    <row r="891">
      <c r="A891" t="str">
        <v>LBL-OPCL24G-V</v>
      </c>
      <c r="B891" t="str">
        <v/>
      </c>
      <c r="C891">
        <v>0</v>
      </c>
      <c r="D891" t="str">
        <v>[]</v>
      </c>
    </row>
    <row r="892">
      <c r="A892" t="str">
        <v>LBL-PFCLB21G-V</v>
      </c>
      <c r="B892" t="str">
        <v/>
      </c>
      <c r="C892">
        <v>0</v>
      </c>
      <c r="D892" t="str">
        <v>[]</v>
      </c>
    </row>
    <row r="893">
      <c r="A893" t="str">
        <v>LBL-PFKLB21G-V</v>
      </c>
      <c r="B893" t="str">
        <v/>
      </c>
      <c r="C893">
        <v>0</v>
      </c>
      <c r="D893" t="str">
        <v>[]</v>
      </c>
    </row>
    <row r="894">
      <c r="A894" t="str">
        <v>LBL-PFLB21G-V</v>
      </c>
      <c r="B894" t="str">
        <v/>
      </c>
      <c r="C894">
        <v>0</v>
      </c>
      <c r="D894" t="str">
        <v>[]</v>
      </c>
    </row>
    <row r="895">
      <c r="A895" t="str">
        <v>LBL-POPCAF60GH-V</v>
      </c>
      <c r="B895" t="str">
        <v/>
      </c>
      <c r="C895">
        <v>0</v>
      </c>
      <c r="D895" t="str">
        <v>[]</v>
      </c>
    </row>
    <row r="896">
      <c r="A896" t="str">
        <v>LBL-POPCHOF60GH-V</v>
      </c>
      <c r="B896" t="str">
        <v/>
      </c>
      <c r="C896">
        <v>0</v>
      </c>
      <c r="D896" t="str">
        <v>[]</v>
      </c>
    </row>
    <row r="897">
      <c r="A897" t="str">
        <v>LBL-POPMCC-F60G-V</v>
      </c>
      <c r="B897" t="str">
        <v/>
      </c>
      <c r="C897">
        <v>0</v>
      </c>
      <c r="D897" t="str">
        <v>[]</v>
      </c>
    </row>
    <row r="898">
      <c r="A898" t="str">
        <v>LBL-RCL24G-V-ND</v>
      </c>
      <c r="B898" t="str">
        <v/>
      </c>
      <c r="C898">
        <v>0</v>
      </c>
      <c r="D898" t="str">
        <v>[]</v>
      </c>
    </row>
    <row r="899">
      <c r="A899" t="str">
        <v>LBL-RCSL24G-V</v>
      </c>
      <c r="B899" t="str">
        <v/>
      </c>
      <c r="C899">
        <v>0</v>
      </c>
      <c r="D899" t="str">
        <v>[]</v>
      </c>
    </row>
    <row r="900">
      <c r="A900" t="str">
        <v>LBL-SOPCL24G-V-ND</v>
      </c>
      <c r="B900" t="str">
        <v/>
      </c>
      <c r="C900">
        <v>0</v>
      </c>
      <c r="D900" t="str">
        <v>[]</v>
      </c>
    </row>
    <row r="901">
      <c r="A901" t="str">
        <v>LBL-SPNGCLS30G-V</v>
      </c>
      <c r="B901" t="str">
        <v/>
      </c>
      <c r="C901">
        <v>0</v>
      </c>
      <c r="D901" t="str">
        <v>[]</v>
      </c>
    </row>
    <row r="902">
      <c r="A902" t="str">
        <v>LBL-SSCL24G-V</v>
      </c>
      <c r="B902" t="str">
        <v/>
      </c>
      <c r="C902">
        <v>0</v>
      </c>
      <c r="D902" t="str">
        <v>[]</v>
      </c>
    </row>
    <row r="903">
      <c r="A903" t="str">
        <v>LBL-CRPL24G-VL</v>
      </c>
      <c r="B903" t="str">
        <v/>
      </c>
      <c r="C903">
        <v>0</v>
      </c>
      <c r="D903" t="str">
        <v>[]</v>
      </c>
    </row>
    <row r="904">
      <c r="A904" t="str">
        <v>LBL-CRPL24G-VL-ND</v>
      </c>
      <c r="B904" t="str">
        <v>40×48</v>
      </c>
      <c r="C904">
        <f>40*48</f>
      </c>
      <c r="D904" t="str">
        <v>["OLD"]</v>
      </c>
    </row>
    <row r="905">
      <c r="A905" t="str">
        <v>LBL-COL22G-V-ND</v>
      </c>
      <c r="B905" t="str">
        <v/>
      </c>
      <c r="C905">
        <v>0</v>
      </c>
      <c r="D905" t="str">
        <v>[]</v>
      </c>
    </row>
    <row r="906">
      <c r="A906" t="str">
        <v>LBL-PFBQLB21G-V-ND</v>
      </c>
      <c r="B906" t="str">
        <v/>
      </c>
      <c r="C906">
        <v>0</v>
      </c>
      <c r="D906" t="str">
        <v>[]</v>
      </c>
    </row>
    <row r="907">
      <c r="A907" t="str">
        <v>LBL-PFLB21G-V-ND</v>
      </c>
      <c r="B907" t="str">
        <v/>
      </c>
      <c r="C907">
        <v>0</v>
      </c>
      <c r="D907" t="str">
        <v>[]</v>
      </c>
    </row>
    <row r="908">
      <c r="A908" t="str">
        <v>LBL-PFKLB21G-V-ND</v>
      </c>
      <c r="B908" t="str">
        <v/>
      </c>
      <c r="C908">
        <v>0</v>
      </c>
      <c r="D908" t="str">
        <v>[]</v>
      </c>
    </row>
    <row r="909">
      <c r="A909" t="str">
        <v>LBL-EHOPCL24G-V-ND</v>
      </c>
      <c r="B909" t="str">
        <v/>
      </c>
      <c r="C909">
        <v>0</v>
      </c>
      <c r="D909" t="str">
        <v>[]</v>
      </c>
    </row>
    <row r="910">
      <c r="A910" t="str">
        <v>LBL-SSCL24G-V-ND</v>
      </c>
      <c r="B910" t="str">
        <v/>
      </c>
      <c r="C910">
        <v>0</v>
      </c>
      <c r="D910" t="str">
        <v>[]</v>
      </c>
    </row>
    <row r="911">
      <c r="A911" t="str">
        <v>LBL-RCSL24G-V-ND</v>
      </c>
      <c r="B911" t="str">
        <v/>
      </c>
      <c r="C911">
        <v>0</v>
      </c>
      <c r="D911" t="str">
        <v>[]</v>
      </c>
    </row>
    <row r="912">
      <c r="A912" t="str">
        <v>LBL-KYFL20G-V-ND</v>
      </c>
      <c r="B912" t="str">
        <v/>
      </c>
      <c r="C912">
        <v>0</v>
      </c>
      <c r="D912" t="str">
        <v>[]</v>
      </c>
    </row>
    <row r="913">
      <c r="A913" t="str">
        <v>LBL-PFCLB21G-V-ND</v>
      </c>
      <c r="B913" t="str">
        <v/>
      </c>
      <c r="C913">
        <v>0</v>
      </c>
      <c r="D913" t="str">
        <v>[]</v>
      </c>
    </row>
    <row r="914">
      <c r="A914" t="str">
        <v>LBL-BPNBTMF24G-V</v>
      </c>
      <c r="B914" t="str">
        <v/>
      </c>
      <c r="C914">
        <v>0</v>
      </c>
      <c r="D914" t="str">
        <v>[]</v>
      </c>
    </row>
    <row r="915">
      <c r="A915" t="str">
        <v>LBL-BPNCOMF24G-V</v>
      </c>
      <c r="B915" t="str">
        <v/>
      </c>
      <c r="C915">
        <v>0</v>
      </c>
      <c r="D915" t="str">
        <v>[]</v>
      </c>
    </row>
    <row r="916">
      <c r="A916" t="str">
        <v>LBL-PFCBM50G-V</v>
      </c>
      <c r="B916" t="str">
        <v/>
      </c>
      <c r="C916">
        <v>0</v>
      </c>
      <c r="D916" t="str">
        <v>[]</v>
      </c>
    </row>
    <row r="917">
      <c r="A917" t="str">
        <v>LBL-RCBM50G-V</v>
      </c>
      <c r="B917" t="str">
        <v/>
      </c>
      <c r="C917">
        <v>0</v>
      </c>
      <c r="D917" t="str">
        <v>[]</v>
      </c>
    </row>
    <row r="918">
      <c r="A918" t="str">
        <v>PUREBEV</v>
      </c>
      <c r="B918" t="str">
        <v/>
      </c>
      <c r="C918">
        <v>0</v>
      </c>
      <c r="D918" t="str">
        <v>[]</v>
      </c>
    </row>
    <row r="919">
      <c r="A919" t="str">
        <v>ADH-JWT-250</v>
      </c>
      <c r="B919" t="str">
        <v/>
      </c>
      <c r="C919">
        <v>0</v>
      </c>
      <c r="D919" t="str">
        <v>[]</v>
      </c>
    </row>
    <row r="920">
      <c r="A920" t="str">
        <v>CTN-GL100PCJ-PPA-1</v>
      </c>
      <c r="B920" t="str">
        <v/>
      </c>
      <c r="C920">
        <v>0</v>
      </c>
      <c r="D920" t="str">
        <v>[]</v>
      </c>
    </row>
    <row r="921">
      <c r="A921" t="str">
        <v>CTN-GL-PCJ-PPA-250</v>
      </c>
      <c r="B921" t="str">
        <v/>
      </c>
      <c r="C921">
        <v>0</v>
      </c>
      <c r="D921" t="str">
        <v>[]</v>
      </c>
    </row>
    <row r="922">
      <c r="A922" t="str">
        <v>CTN-GL-1L-3IN1</v>
      </c>
      <c r="B922" t="str">
        <v/>
      </c>
      <c r="C922">
        <v>0</v>
      </c>
      <c r="D922" t="str">
        <v>[]</v>
      </c>
    </row>
    <row r="923">
      <c r="A923" t="str">
        <v>CTN-GL250ML-2IN1</v>
      </c>
      <c r="B923" t="str">
        <v/>
      </c>
      <c r="C923">
        <v>0</v>
      </c>
      <c r="D923" t="str">
        <v>[]</v>
      </c>
    </row>
    <row r="924">
      <c r="A924" t="str">
        <v>CTN-GL-250ML-3IN1</v>
      </c>
      <c r="B924" t="str">
        <v/>
      </c>
      <c r="C924">
        <v>0</v>
      </c>
      <c r="D924" t="str">
        <v>[]</v>
      </c>
    </row>
    <row r="925">
      <c r="A925" t="str">
        <v>CTN-GL50PJD-RG-1L</v>
      </c>
      <c r="B925" t="str">
        <v/>
      </c>
      <c r="C925">
        <v>0</v>
      </c>
      <c r="D925" t="str">
        <v>[]</v>
      </c>
    </row>
    <row r="926">
      <c r="A926" t="str">
        <v>CTN-GL50PJD-RG-250</v>
      </c>
      <c r="B926" t="str">
        <v/>
      </c>
      <c r="C926">
        <v>0</v>
      </c>
      <c r="D926" t="str">
        <v>[]</v>
      </c>
    </row>
    <row r="927">
      <c r="A927" t="str">
        <v>CTN-OATIES-110ML</v>
      </c>
      <c r="B927" t="str">
        <v/>
      </c>
      <c r="C927">
        <v>0</v>
      </c>
      <c r="D927" t="str">
        <v>[]</v>
      </c>
    </row>
    <row r="928">
      <c r="A928" t="str">
        <v>CTN-OATIES200-2IN1</v>
      </c>
      <c r="B928" t="str">
        <v/>
      </c>
      <c r="C928">
        <v>0</v>
      </c>
      <c r="D928" t="str">
        <v>[]</v>
      </c>
    </row>
    <row r="929">
      <c r="A929" t="str">
        <v>CTN-H-OATIES3-1-1L</v>
      </c>
      <c r="B929" t="str">
        <v/>
      </c>
      <c r="C929">
        <v>0</v>
      </c>
      <c r="D929" t="str">
        <v>[]</v>
      </c>
    </row>
    <row r="930">
      <c r="A930" t="str">
        <v>CTN-HI-COFF-4IN1</v>
      </c>
      <c r="B930" t="str">
        <v/>
      </c>
      <c r="C930">
        <v>0</v>
      </c>
      <c r="D930" t="str">
        <v>[]</v>
      </c>
    </row>
    <row r="931">
      <c r="A931" t="str">
        <v>CTN-OATIES-1L-3IN1</v>
      </c>
      <c r="B931" t="str">
        <v/>
      </c>
      <c r="C931">
        <v>0</v>
      </c>
      <c r="D931" t="str">
        <v>[]</v>
      </c>
    </row>
    <row r="932">
      <c r="A932" t="str">
        <v>CTN-OATIES250-3IN1</v>
      </c>
      <c r="B932" t="str">
        <v/>
      </c>
      <c r="C932">
        <v>0</v>
      </c>
      <c r="D932" t="str">
        <v>[]</v>
      </c>
    </row>
    <row r="933">
      <c r="A933" t="str">
        <v>CTN-WA-100PCJ1L</v>
      </c>
      <c r="B933" t="str">
        <v/>
      </c>
      <c r="C933">
        <v>0</v>
      </c>
      <c r="D933" t="str">
        <v>[]</v>
      </c>
    </row>
    <row r="934">
      <c r="A934" t="str">
        <v>GLUE-HM 449LP</v>
      </c>
      <c r="B934" t="str">
        <v/>
      </c>
      <c r="C934">
        <v>0</v>
      </c>
      <c r="D934" t="str">
        <v>[]</v>
      </c>
    </row>
    <row r="935">
      <c r="A935" t="str">
        <v>RECAP3-A1W</v>
      </c>
      <c r="B935" t="str">
        <v/>
      </c>
      <c r="C935">
        <v>0</v>
      </c>
      <c r="D935" t="str">
        <v>[]</v>
      </c>
    </row>
    <row r="936">
      <c r="A936" t="str">
        <v>RTD GIFTBOX (BOTTLE) 500ML</v>
      </c>
      <c r="B936" t="str">
        <v/>
      </c>
      <c r="C936">
        <v>0</v>
      </c>
      <c r="D936" t="str">
        <v>[]</v>
      </c>
    </row>
    <row r="937">
      <c r="A937" t="str">
        <v>STRIP-IS1000</v>
      </c>
      <c r="B937" t="str">
        <v/>
      </c>
      <c r="C937">
        <v>0</v>
      </c>
      <c r="D937" t="str">
        <v>[]</v>
      </c>
    </row>
    <row r="938">
      <c r="A938" t="str">
        <v>STRIP-LS1000</v>
      </c>
      <c r="B938" t="str">
        <v/>
      </c>
      <c r="C938">
        <v>0</v>
      </c>
      <c r="D938" t="str">
        <v>[]</v>
      </c>
    </row>
    <row r="939">
      <c r="A939" t="str">
        <v>STRIP-LS250</v>
      </c>
      <c r="B939" t="str">
        <v/>
      </c>
      <c r="C939">
        <v>0</v>
      </c>
      <c r="D939" t="str">
        <v>[]</v>
      </c>
    </row>
    <row r="940">
      <c r="A940" t="str">
        <v>STRM-CAP1000</v>
      </c>
      <c r="B940" t="str">
        <v/>
      </c>
      <c r="C940">
        <v>0</v>
      </c>
      <c r="D940" t="str">
        <v>[]</v>
      </c>
    </row>
    <row r="941">
      <c r="A941" t="str">
        <v>STRM-CAP-G1000</v>
      </c>
      <c r="B941" t="str">
        <v/>
      </c>
      <c r="C941">
        <v>0</v>
      </c>
      <c r="D941" t="str">
        <v>[]</v>
      </c>
    </row>
    <row r="942">
      <c r="A942" t="str">
        <v>STRW-USB</v>
      </c>
      <c r="B942" t="str">
        <v/>
      </c>
      <c r="C942">
        <v>0</v>
      </c>
      <c r="D942" t="str">
        <v>[]</v>
      </c>
    </row>
    <row r="943">
      <c r="A943" t="str">
        <v>STRW-USB87MM</v>
      </c>
      <c r="B943" t="str">
        <v/>
      </c>
      <c r="C943">
        <v>0</v>
      </c>
      <c r="D943" t="str">
        <v>[]</v>
      </c>
    </row>
    <row r="944">
      <c r="A944" t="str">
        <v>STRW-USB70MM</v>
      </c>
      <c r="B944" t="str">
        <v/>
      </c>
      <c r="C944">
        <v>0</v>
      </c>
      <c r="D944" t="str">
        <v>[]</v>
      </c>
    </row>
    <row r="945">
      <c r="A945" t="str">
        <v>STRW-USB-B250</v>
      </c>
      <c r="B945" t="str">
        <v/>
      </c>
      <c r="C945">
        <v>0</v>
      </c>
      <c r="D945" t="str">
        <v>[]</v>
      </c>
    </row>
    <row r="946">
      <c r="A946" t="str">
        <v>STRW-USB-200</v>
      </c>
      <c r="B946" t="str">
        <v/>
      </c>
      <c r="C946">
        <v>0</v>
      </c>
      <c r="D946" t="str">
        <v>[]</v>
      </c>
    </row>
    <row r="947">
      <c r="A947" t="str">
        <v>TPAK -TFM250</v>
      </c>
      <c r="B947" t="str">
        <v/>
      </c>
      <c r="C947">
        <v>0</v>
      </c>
      <c r="D947" t="str">
        <v>[]</v>
      </c>
    </row>
    <row r="948">
      <c r="A948" t="str">
        <v>TPAK-250BW</v>
      </c>
      <c r="B948" t="str">
        <v/>
      </c>
      <c r="C948">
        <v>0</v>
      </c>
      <c r="D948" t="str">
        <v>[]</v>
      </c>
    </row>
    <row r="949">
      <c r="A949" t="str">
        <v>TPAK-FVM1000</v>
      </c>
      <c r="B949" t="str">
        <v/>
      </c>
      <c r="C949">
        <v>0</v>
      </c>
      <c r="D949" t="str">
        <v>[]</v>
      </c>
    </row>
    <row r="950">
      <c r="A950" t="str">
        <v>TPAK-FVM250</v>
      </c>
      <c r="B950" t="str">
        <v/>
      </c>
      <c r="C950">
        <v>0</v>
      </c>
      <c r="D950" t="str">
        <v>[]</v>
      </c>
    </row>
    <row r="951">
      <c r="A951" t="str">
        <v>TPAK-GL-FCM1L</v>
      </c>
      <c r="B951" t="str">
        <v/>
      </c>
      <c r="C951">
        <v>0</v>
      </c>
      <c r="D951" t="str">
        <v>[]</v>
      </c>
    </row>
    <row r="952">
      <c r="A952" t="str">
        <v>TPAK-GL-FCM250ML</v>
      </c>
      <c r="B952" t="str">
        <v/>
      </c>
      <c r="C952">
        <v>0</v>
      </c>
      <c r="D952" t="str">
        <v>[]</v>
      </c>
    </row>
    <row r="953">
      <c r="A953" t="str">
        <v>TPAK-GL-TFM250ML</v>
      </c>
      <c r="B953" t="str">
        <v/>
      </c>
      <c r="C953">
        <v>0</v>
      </c>
      <c r="D953" t="str">
        <v>[]</v>
      </c>
    </row>
    <row r="954">
      <c r="A954" t="str">
        <v>TPAKHELI-GL-FCM-1L</v>
      </c>
      <c r="B954" t="str">
        <v/>
      </c>
      <c r="C954">
        <v>0</v>
      </c>
      <c r="D954" t="str">
        <v>[]</v>
      </c>
    </row>
    <row r="955">
      <c r="A955" t="str">
        <v>TPAKHELI-GL-PPA-1L</v>
      </c>
      <c r="B955" t="str">
        <v/>
      </c>
      <c r="C955">
        <v>0</v>
      </c>
      <c r="D955" t="str">
        <v>[]</v>
      </c>
    </row>
    <row r="956">
      <c r="A956" t="str">
        <v>TPAKHELI-GL-RG-1L</v>
      </c>
      <c r="B956" t="str">
        <v/>
      </c>
      <c r="C956">
        <v>0</v>
      </c>
      <c r="D956" t="str">
        <v>[]</v>
      </c>
    </row>
    <row r="957">
      <c r="A957" t="str">
        <v>TPAKHELI-GL-TFM-1L</v>
      </c>
      <c r="B957" t="str">
        <v/>
      </c>
      <c r="C957">
        <v>0</v>
      </c>
      <c r="D957" t="str">
        <v>[]</v>
      </c>
    </row>
    <row r="958">
      <c r="A958" t="str">
        <v>TPAKHELI-OCCC-1L</v>
      </c>
      <c r="B958" t="str">
        <v/>
      </c>
      <c r="C958">
        <v>0</v>
      </c>
      <c r="D958" t="str">
        <v>[]</v>
      </c>
    </row>
    <row r="959">
      <c r="A959" t="str">
        <v>TPAKHELI-OCCCRR-1L</v>
      </c>
      <c r="B959" t="str">
        <v/>
      </c>
      <c r="C959">
        <v>0</v>
      </c>
      <c r="D959" t="str">
        <v>[]</v>
      </c>
    </row>
    <row r="960">
      <c r="A960" t="str">
        <v>TPAKHELI-OOMD-1L</v>
      </c>
      <c r="B960" t="str">
        <v/>
      </c>
      <c r="C960">
        <v>0</v>
      </c>
      <c r="D960" t="str">
        <v>[]</v>
      </c>
    </row>
    <row r="961">
      <c r="A961" t="str">
        <v>TPAK-OCCC1000</v>
      </c>
      <c r="B961" t="str">
        <v/>
      </c>
      <c r="C961">
        <v>0</v>
      </c>
      <c r="D961" t="str">
        <v>[]</v>
      </c>
    </row>
    <row r="962">
      <c r="A962" t="str">
        <v>TPAK-OCCC110ML</v>
      </c>
      <c r="B962" t="str">
        <v/>
      </c>
      <c r="C962">
        <v>0</v>
      </c>
      <c r="D962" t="str">
        <v>[]</v>
      </c>
    </row>
    <row r="963">
      <c r="A963" t="str">
        <v>TPAK-OCCC200</v>
      </c>
      <c r="B963" t="str">
        <v/>
      </c>
      <c r="C963">
        <v>0</v>
      </c>
      <c r="D963" t="str">
        <v>[]</v>
      </c>
    </row>
    <row r="964">
      <c r="A964" t="str">
        <v>TPAK-OCCC250</v>
      </c>
      <c r="B964" t="str">
        <v/>
      </c>
      <c r="C964">
        <v>0</v>
      </c>
      <c r="D964" t="str">
        <v>[]</v>
      </c>
    </row>
    <row r="965">
      <c r="A965" t="str">
        <v>TPAK-OCCCRR1000</v>
      </c>
      <c r="B965" t="str">
        <v/>
      </c>
      <c r="C965">
        <v>0</v>
      </c>
      <c r="D965" t="str">
        <v>[]</v>
      </c>
    </row>
    <row r="966">
      <c r="A966" t="str">
        <v>TPAK-OCCCRR250</v>
      </c>
      <c r="B966" t="str">
        <v/>
      </c>
      <c r="C966">
        <v>0</v>
      </c>
      <c r="D966" t="str">
        <v>[]</v>
      </c>
    </row>
    <row r="967">
      <c r="A967" t="str">
        <v>TPAK-OHC-CAPP250ML</v>
      </c>
      <c r="B967" t="str">
        <v/>
      </c>
      <c r="C967">
        <v>0</v>
      </c>
      <c r="D967" t="str">
        <v>[]</v>
      </c>
    </row>
    <row r="968">
      <c r="A968" t="str">
        <v>TPAK-OHC-CAR250ML</v>
      </c>
      <c r="B968" t="str">
        <v/>
      </c>
      <c r="C968">
        <v>0</v>
      </c>
      <c r="D968" t="str">
        <v>[]</v>
      </c>
    </row>
    <row r="969">
      <c r="A969" t="str">
        <v>TPAK-OHC-CCHO250ML</v>
      </c>
      <c r="B969" t="str">
        <v/>
      </c>
      <c r="C969">
        <v>0</v>
      </c>
      <c r="D969" t="str">
        <v>[]</v>
      </c>
    </row>
    <row r="970">
      <c r="A970" t="str">
        <v>TPAK-OHC-CFL250ML</v>
      </c>
      <c r="B970" t="str">
        <v/>
      </c>
      <c r="C970">
        <v>0</v>
      </c>
      <c r="D970" t="str">
        <v>[]</v>
      </c>
    </row>
    <row r="971">
      <c r="A971" t="str">
        <v>TPAK-OOMD1000</v>
      </c>
      <c r="B971" t="str">
        <v/>
      </c>
      <c r="C971">
        <v>0</v>
      </c>
      <c r="D971" t="str">
        <v>[]</v>
      </c>
    </row>
    <row r="972">
      <c r="A972" t="str">
        <v>TPAK-OOMD200</v>
      </c>
      <c r="B972" t="str">
        <v/>
      </c>
      <c r="C972">
        <v>0</v>
      </c>
      <c r="D972" t="str">
        <v>[]</v>
      </c>
    </row>
    <row r="973">
      <c r="A973" t="str">
        <v>TPAK-OOMD250</v>
      </c>
      <c r="B973" t="str">
        <v/>
      </c>
      <c r="C973">
        <v>0</v>
      </c>
      <c r="D973" t="str">
        <v>[]</v>
      </c>
    </row>
    <row r="974">
      <c r="A974" t="str">
        <v>TPAK-OTM-MMTD250ML</v>
      </c>
      <c r="B974" t="str">
        <v/>
      </c>
      <c r="C974">
        <v>0</v>
      </c>
      <c r="D974" t="str">
        <v>[]</v>
      </c>
    </row>
    <row r="975">
      <c r="A975" t="str">
        <v>TPAK-OTM-PMTD250ML</v>
      </c>
      <c r="B975" t="str">
        <v/>
      </c>
      <c r="C975">
        <v>0</v>
      </c>
      <c r="D975" t="str">
        <v>[]</v>
      </c>
    </row>
    <row r="976">
      <c r="A976" t="str">
        <v>TPAK-PLAIN330ML</v>
      </c>
      <c r="B976" t="str">
        <v/>
      </c>
      <c r="C976">
        <v>0</v>
      </c>
      <c r="D976" t="str">
        <v>[]</v>
      </c>
    </row>
    <row r="977">
      <c r="A977" t="str">
        <v>TPAK-PPA1000</v>
      </c>
      <c r="B977" t="str">
        <v/>
      </c>
      <c r="C977">
        <v>0</v>
      </c>
      <c r="D977" t="str">
        <v>[]</v>
      </c>
    </row>
    <row r="978">
      <c r="A978" t="str">
        <v>TPAK-PPA250</v>
      </c>
      <c r="B978" t="str">
        <v/>
      </c>
      <c r="C978">
        <v>0</v>
      </c>
      <c r="D978" t="str">
        <v>[]</v>
      </c>
    </row>
    <row r="979">
      <c r="A979" t="str">
        <v>TPAK-RG1000</v>
      </c>
      <c r="B979" t="str">
        <v/>
      </c>
      <c r="C979">
        <v>0</v>
      </c>
      <c r="D979" t="str">
        <v>[]</v>
      </c>
    </row>
    <row r="980">
      <c r="A980" t="str">
        <v>TPAK-RG250</v>
      </c>
      <c r="B980" t="str">
        <v/>
      </c>
      <c r="C980">
        <v>0</v>
      </c>
      <c r="D980" t="str">
        <v>[]</v>
      </c>
    </row>
    <row r="981">
      <c r="A981" t="str">
        <v>TPAK-TFM1000</v>
      </c>
      <c r="B981" t="str">
        <v/>
      </c>
      <c r="C981">
        <v>0</v>
      </c>
      <c r="D981" t="str">
        <v>[]</v>
      </c>
    </row>
    <row r="982">
      <c r="A982" t="str">
        <v>TPAK-TFM250</v>
      </c>
      <c r="B982" t="str">
        <v/>
      </c>
      <c r="C982">
        <v>0</v>
      </c>
      <c r="D982" t="str">
        <v>[]</v>
      </c>
    </row>
    <row r="983">
      <c r="A983" t="str">
        <v>T-STRIP-AL TP-LG47</v>
      </c>
      <c r="B983" t="str">
        <v/>
      </c>
      <c r="C983">
        <v>0</v>
      </c>
      <c r="D983" t="str">
        <v>[]</v>
      </c>
    </row>
    <row r="984">
      <c r="A984" t="str">
        <v>TPAK-OOGYD-PM200ML</v>
      </c>
      <c r="B984" t="str">
        <v/>
      </c>
      <c r="C984">
        <v>0</v>
      </c>
      <c r="D984" t="str">
        <v>[]</v>
      </c>
    </row>
    <row r="985">
      <c r="A985" t="str">
        <v>TPAK-OOGYDORG200ML</v>
      </c>
      <c r="B985" t="str">
        <v/>
      </c>
      <c r="C985">
        <v>0</v>
      </c>
      <c r="D985" t="str">
        <v>[]</v>
      </c>
    </row>
    <row r="986">
      <c r="A986" t="str">
        <v>TPAK-OOGYDSTB200ML</v>
      </c>
      <c r="B986" t="str">
        <v/>
      </c>
      <c r="C986">
        <v>0</v>
      </c>
      <c r="D986" t="str">
        <v>[]</v>
      </c>
    </row>
    <row r="987">
      <c r="A987" t="str">
        <v>TPAK-OOGYDORG65ML</v>
      </c>
      <c r="B987" t="str">
        <v/>
      </c>
      <c r="C987">
        <v>0</v>
      </c>
      <c r="D987" t="str">
        <v>[]</v>
      </c>
    </row>
    <row r="988">
      <c r="A988" t="str">
        <v>TPAK-OOGYDPM65ML</v>
      </c>
      <c r="B988" t="str">
        <v/>
      </c>
      <c r="C988">
        <v>0</v>
      </c>
      <c r="D988" t="str">
        <v>[]</v>
      </c>
    </row>
    <row r="989">
      <c r="A989" t="str">
        <v>TPAK-OOGYDSTB65ML</v>
      </c>
      <c r="B989" t="str">
        <v/>
      </c>
      <c r="C989">
        <v>0</v>
      </c>
      <c r="D989" t="str">
        <v>[]</v>
      </c>
    </row>
    <row r="990">
      <c r="A990" t="str">
        <v>TPAK-OSQM-1L</v>
      </c>
      <c r="B990" t="str">
        <v/>
      </c>
      <c r="C990">
        <v>0</v>
      </c>
      <c r="D990" t="str">
        <v>[]</v>
      </c>
    </row>
    <row r="991">
      <c r="A991" t="str">
        <v>NON-MOVING ITEMS</v>
      </c>
      <c r="B991" t="str">
        <v/>
      </c>
      <c r="C991">
        <v>0</v>
      </c>
      <c r="D991" t="str">
        <v>[]</v>
      </c>
    </row>
    <row r="992">
      <c r="A992" t="str">
        <v>4</v>
      </c>
      <c r="B992" t="str">
        <v/>
      </c>
      <c r="C992">
        <v>0</v>
      </c>
      <c r="D992" t="str">
        <v>[]</v>
      </c>
    </row>
    <row r="993">
      <c r="A993" t="str">
        <v>BAG-70THYEAR-2016</v>
      </c>
      <c r="B993" t="str">
        <v/>
      </c>
      <c r="C993">
        <v>0</v>
      </c>
      <c r="D993" t="str">
        <v>[]</v>
      </c>
    </row>
    <row r="994">
      <c r="A994" t="str">
        <v>BAG-A19.50X18SHR</v>
      </c>
      <c r="B994" t="str">
        <v/>
      </c>
      <c r="C994">
        <v>0</v>
      </c>
      <c r="D994" t="str">
        <v>[]</v>
      </c>
    </row>
    <row r="995">
      <c r="A995" t="str">
        <v>BAG-B11.50X17</v>
      </c>
      <c r="B995" t="str">
        <v/>
      </c>
      <c r="C995">
        <v>0</v>
      </c>
      <c r="D995" t="str">
        <v>[]</v>
      </c>
    </row>
    <row r="996">
      <c r="A996" t="str">
        <v>BAG-B13.50X13PE</v>
      </c>
      <c r="B996" t="str">
        <v>29740</v>
      </c>
      <c r="C996">
        <f>29740</f>
      </c>
      <c r="D996" t="str">
        <v>[""]</v>
      </c>
    </row>
    <row r="997">
      <c r="A997" t="str">
        <v>BAG-B13X17.5</v>
      </c>
      <c r="B997" t="str">
        <v/>
      </c>
      <c r="C997">
        <v>0</v>
      </c>
      <c r="D997" t="str">
        <v>[]</v>
      </c>
    </row>
    <row r="998">
      <c r="A998" t="str">
        <v>BAG-B14.50X20SHR</v>
      </c>
      <c r="B998" t="str">
        <v/>
      </c>
      <c r="C998">
        <v>0</v>
      </c>
      <c r="D998" t="str">
        <v>[]</v>
      </c>
    </row>
    <row r="999">
      <c r="A999" t="str">
        <v>BAG-B23X22SR</v>
      </c>
      <c r="B999" t="str">
        <v/>
      </c>
      <c r="C999">
        <v>0</v>
      </c>
      <c r="D999" t="str">
        <v>[]</v>
      </c>
    </row>
    <row r="1000">
      <c r="A1000" t="str">
        <v>BAGB9.25X12.50HDPE</v>
      </c>
      <c r="B1000" t="str">
        <v/>
      </c>
      <c r="C1000">
        <v>0</v>
      </c>
      <c r="D1000" t="str">
        <v>[]</v>
      </c>
    </row>
    <row r="1001">
      <c r="A1001" t="str">
        <v>BAG-B9X10SHR</v>
      </c>
      <c r="B1001" t="str">
        <v/>
      </c>
      <c r="C1001">
        <v>0</v>
      </c>
      <c r="D1001" t="str">
        <v>[]</v>
      </c>
    </row>
    <row r="1002">
      <c r="A1002" t="str">
        <v>BAG-DAHONGBAO</v>
      </c>
      <c r="B1002" t="str">
        <v/>
      </c>
      <c r="C1002">
        <v>0</v>
      </c>
      <c r="D1002" t="str">
        <v>[]</v>
      </c>
    </row>
    <row r="1003">
      <c r="A1003" t="str">
        <v>CAP-PSFMETALLOCK</v>
      </c>
      <c r="B1003" t="str">
        <v/>
      </c>
      <c r="C1003">
        <v>0</v>
      </c>
      <c r="D1003" t="str">
        <v>[]</v>
      </c>
    </row>
    <row r="1004">
      <c r="A1004" t="str">
        <v>CTN-BENCH-F</v>
      </c>
      <c r="B1004" t="str">
        <v/>
      </c>
      <c r="C1004">
        <v>0</v>
      </c>
      <c r="D1004" t="str">
        <v>[]</v>
      </c>
    </row>
    <row r="1005">
      <c r="A1005" t="str">
        <v>CTN-BENCH-FL</v>
      </c>
      <c r="B1005" t="str">
        <v/>
      </c>
      <c r="C1005">
        <v>0</v>
      </c>
      <c r="D1005" t="str">
        <v>[]</v>
      </c>
    </row>
    <row r="1006">
      <c r="A1006" t="str">
        <v>CTN-BP-MF-EXP-HK</v>
      </c>
      <c r="B1006" t="str">
        <v/>
      </c>
      <c r="C1006">
        <v>0</v>
      </c>
      <c r="D1006" t="str">
        <v>[]</v>
      </c>
    </row>
    <row r="1007">
      <c r="A1007" t="str">
        <v>CTN-BPMF-P-SG</v>
      </c>
      <c r="B1007" t="str">
        <v/>
      </c>
      <c r="C1007">
        <v>0</v>
      </c>
      <c r="D1007" t="str">
        <v>[]</v>
      </c>
    </row>
    <row r="1008">
      <c r="A1008" t="str">
        <v>CTN-CPNPLW-HA</v>
      </c>
      <c r="B1008" t="str">
        <v/>
      </c>
      <c r="C1008">
        <v>0</v>
      </c>
      <c r="D1008" t="str">
        <v>[]</v>
      </c>
    </row>
    <row r="1009">
      <c r="A1009" t="str">
        <v>CTN-CPNPLW-LS</v>
      </c>
      <c r="B1009" t="str">
        <v/>
      </c>
      <c r="C1009">
        <v>0</v>
      </c>
      <c r="D1009" t="str">
        <v>[]</v>
      </c>
    </row>
    <row r="1010">
      <c r="A1010" t="str">
        <v>CTN-CQC</v>
      </c>
      <c r="B1010" t="str">
        <v/>
      </c>
      <c r="C1010">
        <v>0</v>
      </c>
      <c r="D1010" t="str">
        <v>[]</v>
      </c>
    </row>
    <row r="1011">
      <c r="A1011" t="str">
        <v>CTN-CRC-LS</v>
      </c>
      <c r="B1011" t="str">
        <v/>
      </c>
      <c r="C1011">
        <v>0</v>
      </c>
      <c r="D1011" t="str">
        <v>[]</v>
      </c>
    </row>
    <row r="1012">
      <c r="A1012" t="str">
        <v>CTN-CROS-UE_2IN1</v>
      </c>
      <c r="B1012" t="str">
        <v/>
      </c>
      <c r="C1012">
        <v>0</v>
      </c>
      <c r="D1012" t="str">
        <v>[]</v>
      </c>
    </row>
    <row r="1013">
      <c r="A1013" t="str">
        <v>CTN-GP</v>
      </c>
      <c r="B1013" t="str">
        <v/>
      </c>
      <c r="C1013">
        <v>0</v>
      </c>
      <c r="D1013" t="str">
        <v>[]</v>
      </c>
    </row>
    <row r="1014">
      <c r="A1014" t="str">
        <v>CTN-GP-BA</v>
      </c>
      <c r="B1014" t="str">
        <v/>
      </c>
      <c r="C1014">
        <v>0</v>
      </c>
      <c r="D1014" t="str">
        <v>[]</v>
      </c>
    </row>
    <row r="1015">
      <c r="A1015" t="str">
        <v>CTN-HUNTS-L</v>
      </c>
      <c r="B1015" t="str">
        <v/>
      </c>
      <c r="C1015">
        <v>0</v>
      </c>
      <c r="D1015" t="str">
        <v>[]</v>
      </c>
    </row>
    <row r="1016">
      <c r="A1016" t="str">
        <v>CTN-IB-LXP-KROPEK</v>
      </c>
      <c r="B1016" t="str">
        <v/>
      </c>
      <c r="C1016">
        <v>0</v>
      </c>
      <c r="D1016" t="str">
        <v>[]</v>
      </c>
    </row>
    <row r="1017">
      <c r="A1017" t="str">
        <v>CTN-NPC-TL-VPAK</v>
      </c>
      <c r="B1017" t="str">
        <v/>
      </c>
      <c r="C1017">
        <v>0</v>
      </c>
      <c r="D1017" t="str">
        <v>[]</v>
      </c>
    </row>
    <row r="1018">
      <c r="A1018" t="str">
        <v>CTN-OBJ-15</v>
      </c>
      <c r="B1018" t="str">
        <v/>
      </c>
      <c r="C1018">
        <v>0</v>
      </c>
      <c r="D1018" t="str">
        <v>[]</v>
      </c>
    </row>
    <row r="1019">
      <c r="A1019" t="str">
        <v>CTN-OBJ-16</v>
      </c>
      <c r="B1019" t="str">
        <v/>
      </c>
      <c r="C1019">
        <v>0</v>
      </c>
      <c r="D1019" t="str">
        <v>[]</v>
      </c>
    </row>
    <row r="1020">
      <c r="A1020" t="str">
        <v>CTN-OBJ-45</v>
      </c>
      <c r="B1020" t="str">
        <v/>
      </c>
      <c r="C1020">
        <v>0</v>
      </c>
      <c r="D1020" t="str">
        <v>[]</v>
      </c>
    </row>
    <row r="1021">
      <c r="A1021" t="str">
        <v>CTN-OBJ-500</v>
      </c>
      <c r="B1021" t="str">
        <v/>
      </c>
      <c r="C1021">
        <v>0</v>
      </c>
      <c r="D1021" t="str">
        <v>[]</v>
      </c>
    </row>
    <row r="1022">
      <c r="A1022" t="str">
        <v>CTN-OCC-LS-35G</v>
      </c>
      <c r="B1022" t="str">
        <v/>
      </c>
      <c r="C1022">
        <v>0</v>
      </c>
      <c r="D1022" t="str">
        <v>[]</v>
      </c>
    </row>
    <row r="1023">
      <c r="A1023" t="str">
        <v>CTN-OISHI-KROPEK</v>
      </c>
      <c r="B1023" t="str">
        <v/>
      </c>
      <c r="C1023">
        <v>0</v>
      </c>
      <c r="D1023" t="str">
        <v>[]</v>
      </c>
    </row>
    <row r="1024">
      <c r="A1024" t="str">
        <v>CTN-OMDH-HA30</v>
      </c>
      <c r="B1024" t="str">
        <v/>
      </c>
      <c r="C1024">
        <v>0</v>
      </c>
      <c r="D1024" t="str">
        <v>[]</v>
      </c>
    </row>
    <row r="1025">
      <c r="A1025" t="str">
        <v>CTN-OORXS-T5G</v>
      </c>
      <c r="B1025" t="str">
        <v/>
      </c>
      <c r="C1025">
        <v>0</v>
      </c>
      <c r="D1025" t="str">
        <v>[]</v>
      </c>
    </row>
    <row r="1026">
      <c r="A1026" t="str">
        <v>CTN-OPCXS-T5G</v>
      </c>
      <c r="B1026" t="str">
        <v/>
      </c>
      <c r="C1026">
        <v>0</v>
      </c>
      <c r="D1026" t="str">
        <v>[]</v>
      </c>
    </row>
    <row r="1027">
      <c r="A1027" t="str">
        <v>CTN-OST-16</v>
      </c>
      <c r="B1027" t="str">
        <v/>
      </c>
      <c r="C1027">
        <v>0</v>
      </c>
      <c r="D1027" t="str">
        <v>[]</v>
      </c>
    </row>
    <row r="1028">
      <c r="A1028" t="str">
        <v>CTN-OST-35</v>
      </c>
      <c r="B1028" t="str">
        <v/>
      </c>
      <c r="C1028">
        <v>0</v>
      </c>
      <c r="D1028" t="str">
        <v>[]</v>
      </c>
    </row>
    <row r="1029">
      <c r="A1029" t="str">
        <v>CTN-PADS-PART</v>
      </c>
      <c r="B1029" t="str">
        <v/>
      </c>
      <c r="C1029">
        <v>0</v>
      </c>
      <c r="D1029" t="str">
        <v>[]</v>
      </c>
    </row>
    <row r="1030">
      <c r="A1030" t="str">
        <v>CTN-PC-DB</v>
      </c>
      <c r="B1030" t="str">
        <v/>
      </c>
      <c r="C1030">
        <v>0</v>
      </c>
      <c r="D1030" t="str">
        <v>[]</v>
      </c>
    </row>
    <row r="1031">
      <c r="A1031" t="str">
        <v>CTN-PFXS-T5G</v>
      </c>
      <c r="B1031" t="str">
        <v/>
      </c>
      <c r="C1031">
        <v>0</v>
      </c>
      <c r="D1031" t="str">
        <v>[]</v>
      </c>
    </row>
    <row r="1032">
      <c r="A1032" t="str">
        <v>CTN-PNT-2</v>
      </c>
      <c r="B1032" t="str">
        <v/>
      </c>
      <c r="C1032">
        <v>0</v>
      </c>
      <c r="D1032" t="str">
        <v>[]</v>
      </c>
    </row>
    <row r="1033">
      <c r="A1033" t="str">
        <v>CTN-PPOW-FG</v>
      </c>
      <c r="B1033" t="str">
        <v/>
      </c>
      <c r="C1033">
        <v>0</v>
      </c>
      <c r="D1033" t="str">
        <v>[]</v>
      </c>
    </row>
    <row r="1034">
      <c r="A1034" t="str">
        <v>CTN-PSF-BC</v>
      </c>
      <c r="B1034" t="str">
        <v/>
      </c>
      <c r="C1034">
        <v>0</v>
      </c>
      <c r="D1034" t="str">
        <v>[]</v>
      </c>
    </row>
    <row r="1035">
      <c r="A1035" t="str">
        <v>CTN-PSF-DA</v>
      </c>
      <c r="B1035" t="str">
        <v/>
      </c>
      <c r="C1035">
        <v>0</v>
      </c>
      <c r="D1035" t="str">
        <v>[]</v>
      </c>
    </row>
    <row r="1036">
      <c r="A1036" t="str">
        <v>CTN-STAG-2IN1</v>
      </c>
      <c r="B1036" t="str">
        <v/>
      </c>
      <c r="C1036">
        <v>0</v>
      </c>
      <c r="D1036" t="str">
        <v>[]</v>
      </c>
    </row>
    <row r="1037">
      <c r="A1037" t="str">
        <v>CTN-TPCHZ-LS</v>
      </c>
      <c r="B1037" t="str">
        <v/>
      </c>
      <c r="C1037">
        <v>0</v>
      </c>
      <c r="D1037" t="str">
        <v>[]</v>
      </c>
    </row>
    <row r="1038">
      <c r="A1038" t="str">
        <v>CTN-WCC-LR</v>
      </c>
      <c r="B1038" t="str">
        <v/>
      </c>
      <c r="C1038">
        <v>0</v>
      </c>
      <c r="D1038" t="str">
        <v>[]</v>
      </c>
    </row>
    <row r="1039">
      <c r="A1039" t="str">
        <v>CTN-XS-T-5G</v>
      </c>
      <c r="B1039" t="str">
        <v/>
      </c>
      <c r="C1039">
        <v>0</v>
      </c>
      <c r="D1039" t="str">
        <v>[]</v>
      </c>
    </row>
    <row r="1040">
      <c r="A1040" t="str">
        <v>LBL-BEPLLS30G</v>
      </c>
      <c r="B1040" t="str">
        <v/>
      </c>
      <c r="C1040">
        <v>0</v>
      </c>
      <c r="D1040" t="str">
        <v>[]</v>
      </c>
    </row>
    <row r="1041">
      <c r="A1041" t="str">
        <v>LBL-BOPPBA</v>
      </c>
      <c r="B1041" t="str">
        <v/>
      </c>
      <c r="C1041">
        <v>0</v>
      </c>
      <c r="D1041" t="str">
        <v>[]</v>
      </c>
    </row>
    <row r="1042">
      <c r="A1042" t="str">
        <v>LBL-BPOPCF60G</v>
      </c>
      <c r="B1042" t="str">
        <v/>
      </c>
      <c r="C1042">
        <v>0</v>
      </c>
      <c r="D1042" t="str">
        <v>[]</v>
      </c>
    </row>
    <row r="1043">
      <c r="A1043" t="str">
        <v>LBL-BPOPCL32G</v>
      </c>
      <c r="B1043" t="str">
        <v/>
      </c>
      <c r="C1043">
        <v>0</v>
      </c>
      <c r="D1043" t="str">
        <v>[]</v>
      </c>
    </row>
    <row r="1044">
      <c r="A1044" t="str">
        <v>LBL-BQCLBLB25G-H</v>
      </c>
      <c r="B1044" t="str">
        <v/>
      </c>
      <c r="C1044">
        <v>0</v>
      </c>
      <c r="D1044" t="str">
        <v>[]</v>
      </c>
    </row>
    <row r="1045">
      <c r="A1045" t="str">
        <v>LBL-BQCUC60G</v>
      </c>
      <c r="B1045" t="str">
        <v/>
      </c>
      <c r="C1045">
        <v>0</v>
      </c>
      <c r="D1045" t="str">
        <v>[]</v>
      </c>
    </row>
    <row r="1046">
      <c r="A1046" t="str">
        <v>LBL-CHSPLWLS38G</v>
      </c>
      <c r="B1046" t="str">
        <v/>
      </c>
      <c r="C1046">
        <v>0</v>
      </c>
      <c r="D1046" t="str">
        <v>[]</v>
      </c>
    </row>
    <row r="1047">
      <c r="A1047" t="str">
        <v>LBL-CQCUC60G</v>
      </c>
      <c r="B1047" t="str">
        <v/>
      </c>
      <c r="C1047">
        <v>0</v>
      </c>
      <c r="D1047" t="str">
        <v>[]</v>
      </c>
    </row>
    <row r="1048">
      <c r="A1048" t="str">
        <v>LBL-CROSBQLR30G</v>
      </c>
      <c r="B1048" t="str">
        <v/>
      </c>
      <c r="C1048">
        <v>0</v>
      </c>
      <c r="D1048" t="str">
        <v>[]</v>
      </c>
    </row>
    <row r="1049">
      <c r="A1049" t="str">
        <v>LBL-CROSBQUE115G</v>
      </c>
      <c r="B1049" t="str">
        <v/>
      </c>
      <c r="C1049">
        <v>0</v>
      </c>
      <c r="D1049" t="str">
        <v>[]</v>
      </c>
    </row>
    <row r="1050">
      <c r="A1050" t="str">
        <v>LBL-CROSNCLR30G</v>
      </c>
      <c r="B1050" t="str">
        <v/>
      </c>
      <c r="C1050">
        <v>0</v>
      </c>
      <c r="D1050" t="str">
        <v>[]</v>
      </c>
    </row>
    <row r="1051">
      <c r="A1051" t="str">
        <v>LBL-CROSNCUE115G</v>
      </c>
      <c r="B1051" t="str">
        <v/>
      </c>
      <c r="C1051">
        <v>0</v>
      </c>
      <c r="D1051" t="str">
        <v>[]</v>
      </c>
    </row>
    <row r="1052">
      <c r="A1052" t="str">
        <v>LBL-DFHCL26G</v>
      </c>
      <c r="B1052" t="str">
        <v/>
      </c>
      <c r="C1052">
        <v>0</v>
      </c>
      <c r="D1052" t="str">
        <v>[]</v>
      </c>
    </row>
    <row r="1053">
      <c r="A1053" t="str">
        <v>LBL-DFHCL28G</v>
      </c>
      <c r="B1053" t="str">
        <v/>
      </c>
      <c r="C1053">
        <v>0</v>
      </c>
      <c r="D1053" t="str">
        <v>[]</v>
      </c>
    </row>
    <row r="1054">
      <c r="A1054" t="str">
        <v>LBL-DFHCSVL26G</v>
      </c>
      <c r="B1054" t="str">
        <v/>
      </c>
      <c r="C1054">
        <v>0</v>
      </c>
      <c r="D1054" t="str">
        <v>[]</v>
      </c>
    </row>
    <row r="1055">
      <c r="A1055" t="str">
        <v>LBL-DFHCSVL28G</v>
      </c>
      <c r="B1055" t="str">
        <v/>
      </c>
      <c r="C1055">
        <v>0</v>
      </c>
      <c r="D1055" t="str">
        <v>[]</v>
      </c>
    </row>
    <row r="1056">
      <c r="A1056" t="str">
        <v>LBL-DFHCSVUA90G</v>
      </c>
      <c r="B1056" t="str">
        <v/>
      </c>
      <c r="C1056">
        <v>0</v>
      </c>
      <c r="D1056" t="str">
        <v>[]</v>
      </c>
    </row>
    <row r="1057">
      <c r="A1057" t="str">
        <v>LBL-DFHCUA90G</v>
      </c>
      <c r="B1057" t="str">
        <v/>
      </c>
      <c r="C1057">
        <v>0</v>
      </c>
      <c r="D1057" t="str">
        <v>[]</v>
      </c>
    </row>
    <row r="1058">
      <c r="A1058" t="str">
        <v>LBL-DFHCXS8G</v>
      </c>
      <c r="B1058" t="str">
        <v/>
      </c>
      <c r="C1058">
        <v>0</v>
      </c>
      <c r="D1058" t="str">
        <v>[]</v>
      </c>
    </row>
    <row r="1059">
      <c r="A1059" t="str">
        <v>LBL-DPCL22G</v>
      </c>
      <c r="B1059" t="str">
        <v/>
      </c>
      <c r="C1059">
        <v>0</v>
      </c>
      <c r="D1059" t="str">
        <v>[]</v>
      </c>
    </row>
    <row r="1060">
      <c r="A1060" t="str">
        <v>LBL-FLTCOL22G</v>
      </c>
      <c r="B1060" t="str">
        <v/>
      </c>
      <c r="C1060">
        <v>0</v>
      </c>
      <c r="D1060" t="str">
        <v>[]</v>
      </c>
    </row>
    <row r="1061">
      <c r="A1061" t="str">
        <v>LBL-FLTPL20G</v>
      </c>
      <c r="B1061" t="str">
        <v/>
      </c>
      <c r="C1061">
        <v>0</v>
      </c>
      <c r="D1061" t="str">
        <v>[]</v>
      </c>
    </row>
    <row r="1062">
      <c r="A1062" t="str">
        <v>LBL-FLTPZL22G</v>
      </c>
      <c r="B1062" t="str">
        <v/>
      </c>
      <c r="C1062">
        <v>0</v>
      </c>
      <c r="D1062" t="str">
        <v>[]</v>
      </c>
    </row>
    <row r="1063">
      <c r="A1063" t="str">
        <v>LBL-GCHCSB15G-H</v>
      </c>
      <c r="B1063" t="str">
        <v/>
      </c>
      <c r="C1063">
        <v>0</v>
      </c>
      <c r="D1063" t="str">
        <v>[]</v>
      </c>
    </row>
    <row r="1064">
      <c r="A1064" t="str">
        <v>LBL-HCFRGA180G-H</v>
      </c>
      <c r="B1064" t="str">
        <v/>
      </c>
      <c r="C1064">
        <v>0</v>
      </c>
      <c r="D1064" t="str">
        <v>[]</v>
      </c>
    </row>
    <row r="1065">
      <c r="A1065" t="str">
        <v>LBL-JPSPLR20G</v>
      </c>
      <c r="B1065" t="str">
        <v/>
      </c>
      <c r="C1065">
        <v>0</v>
      </c>
      <c r="D1065" t="str">
        <v>[]</v>
      </c>
    </row>
    <row r="1066">
      <c r="A1066" t="str">
        <v>LBL-KEO150G</v>
      </c>
      <c r="B1066" t="str">
        <v/>
      </c>
      <c r="C1066">
        <v>0</v>
      </c>
      <c r="D1066" t="str">
        <v>[]</v>
      </c>
    </row>
    <row r="1067">
      <c r="A1067" t="str">
        <v>LBL-KYFSA12G-H</v>
      </c>
      <c r="B1067" t="str">
        <v/>
      </c>
      <c r="C1067">
        <v>0</v>
      </c>
      <c r="D1067" t="str">
        <v>[]</v>
      </c>
    </row>
    <row r="1068">
      <c r="A1068" t="str">
        <v>LBL-KYFXS8G</v>
      </c>
      <c r="B1068" t="str">
        <v/>
      </c>
      <c r="C1068">
        <v>0</v>
      </c>
      <c r="D1068" t="str">
        <v>[]</v>
      </c>
    </row>
    <row r="1069">
      <c r="A1069" t="str">
        <v>LBL-MNDHHA30</v>
      </c>
      <c r="B1069" t="str">
        <v/>
      </c>
      <c r="C1069">
        <v>0</v>
      </c>
      <c r="D1069" t="str">
        <v>[]</v>
      </c>
    </row>
    <row r="1070">
      <c r="A1070" t="str">
        <v>LBL-NPPSCB35G</v>
      </c>
      <c r="B1070" t="str">
        <v/>
      </c>
      <c r="C1070">
        <v>0</v>
      </c>
      <c r="D1070" t="str">
        <v>[]</v>
      </c>
    </row>
    <row r="1071">
      <c r="A1071" t="str">
        <v>LBL-NPPSCB35G-V</v>
      </c>
      <c r="B1071" t="str">
        <v/>
      </c>
      <c r="C1071">
        <v>0</v>
      </c>
      <c r="D1071" t="str">
        <v>[]</v>
      </c>
    </row>
    <row r="1072">
      <c r="A1072" t="str">
        <v>LBL-NPSSTL22G-H</v>
      </c>
      <c r="B1072" t="str">
        <v/>
      </c>
      <c r="C1072">
        <v>0</v>
      </c>
      <c r="D1072" t="str">
        <v>[]</v>
      </c>
    </row>
    <row r="1073">
      <c r="A1073" t="str">
        <v>LBL-NPTBTL22G</v>
      </c>
      <c r="B1073" t="str">
        <v/>
      </c>
      <c r="C1073">
        <v>0</v>
      </c>
      <c r="D1073" t="str">
        <v>[]</v>
      </c>
    </row>
    <row r="1074">
      <c r="A1074" t="str">
        <v>LBL-ODDCC30G</v>
      </c>
      <c r="B1074" t="str">
        <v/>
      </c>
      <c r="C1074">
        <v>0</v>
      </c>
      <c r="D1074" t="str">
        <v>[]</v>
      </c>
    </row>
    <row r="1075">
      <c r="A1075" t="str">
        <v>LBL-OORF40G</v>
      </c>
      <c r="B1075" t="str">
        <v/>
      </c>
      <c r="C1075">
        <v>0</v>
      </c>
      <c r="D1075" t="str">
        <v>[]</v>
      </c>
    </row>
    <row r="1076">
      <c r="A1076" t="str">
        <v>LBL-OSAJTP45G</v>
      </c>
      <c r="B1076" t="str">
        <v/>
      </c>
      <c r="C1076">
        <v>0</v>
      </c>
      <c r="D1076" t="str">
        <v>[]</v>
      </c>
    </row>
    <row r="1077">
      <c r="A1077" t="str">
        <v>LBL-OSDJTP250V</v>
      </c>
      <c r="B1077" t="str">
        <v/>
      </c>
      <c r="C1077">
        <v>0</v>
      </c>
      <c r="D1077" t="str">
        <v>[]</v>
      </c>
    </row>
    <row r="1078">
      <c r="A1078" t="str">
        <v>LBL-OSDJTP500V</v>
      </c>
      <c r="B1078" t="str">
        <v/>
      </c>
      <c r="C1078">
        <v>0</v>
      </c>
      <c r="D1078" t="str">
        <v>[]</v>
      </c>
    </row>
    <row r="1079">
      <c r="A1079" t="str">
        <v>LBL-OSLJTP250V</v>
      </c>
      <c r="B1079" t="str">
        <v/>
      </c>
      <c r="C1079">
        <v>0</v>
      </c>
      <c r="D1079" t="str">
        <v>[]</v>
      </c>
    </row>
    <row r="1080">
      <c r="A1080" t="str">
        <v>LBL-OSLJTP500V</v>
      </c>
      <c r="B1080" t="str">
        <v/>
      </c>
      <c r="C1080">
        <v>0</v>
      </c>
      <c r="D1080" t="str">
        <v>[]</v>
      </c>
    </row>
    <row r="1081">
      <c r="A1081" t="str">
        <v>LBL-OSMEJTP16</v>
      </c>
      <c r="B1081" t="str">
        <v/>
      </c>
      <c r="C1081">
        <v>0</v>
      </c>
      <c r="D1081" t="str">
        <v>[]</v>
      </c>
    </row>
    <row r="1082">
      <c r="A1082" t="str">
        <v>LBL-OSMEJTP45</v>
      </c>
      <c r="B1082" t="str">
        <v/>
      </c>
      <c r="C1082">
        <v>0</v>
      </c>
      <c r="D1082" t="str">
        <v>[]</v>
      </c>
    </row>
    <row r="1083">
      <c r="A1083" t="str">
        <v>LBL-OSMJTP250</v>
      </c>
      <c r="B1083" t="str">
        <v/>
      </c>
      <c r="C1083">
        <v>0</v>
      </c>
      <c r="D1083" t="str">
        <v>[]</v>
      </c>
    </row>
    <row r="1084">
      <c r="A1084" t="str">
        <v>LBL-OSMJTP500</v>
      </c>
      <c r="B1084" t="str">
        <v/>
      </c>
      <c r="C1084">
        <v>0</v>
      </c>
      <c r="D1084" t="str">
        <v>[]</v>
      </c>
    </row>
    <row r="1085">
      <c r="A1085" t="str">
        <v>LBL-OSOMJTP45</v>
      </c>
      <c r="B1085" t="str">
        <v/>
      </c>
      <c r="C1085">
        <v>0</v>
      </c>
      <c r="D1085" t="str">
        <v>[]</v>
      </c>
    </row>
    <row r="1086">
      <c r="A1086" t="str">
        <v>LBL-OSPJTP500</v>
      </c>
      <c r="B1086" t="str">
        <v/>
      </c>
      <c r="C1086">
        <v>0</v>
      </c>
      <c r="D1086" t="str">
        <v>[]</v>
      </c>
    </row>
    <row r="1087">
      <c r="A1087" t="str">
        <v>LBL-PCBCLT24G</v>
      </c>
      <c r="B1087" t="str">
        <v/>
      </c>
      <c r="C1087">
        <v>0</v>
      </c>
      <c r="D1087" t="str">
        <v>[]</v>
      </c>
    </row>
    <row r="1088">
      <c r="A1088" t="str">
        <v>LBL-PCCBLT24G</v>
      </c>
      <c r="B1088" t="str">
        <v/>
      </c>
      <c r="C1088">
        <v>0</v>
      </c>
      <c r="D1088" t="str">
        <v>[]</v>
      </c>
    </row>
    <row r="1089">
      <c r="A1089" t="str">
        <v>LBL-PCCG-DB34G</v>
      </c>
      <c r="B1089" t="str">
        <v/>
      </c>
      <c r="C1089">
        <v>0</v>
      </c>
      <c r="D1089" t="str">
        <v>[]</v>
      </c>
    </row>
    <row r="1090">
      <c r="A1090" t="str">
        <v>LBL-PCCH-DB34G</v>
      </c>
      <c r="B1090" t="str">
        <v/>
      </c>
      <c r="C1090">
        <v>0</v>
      </c>
      <c r="D1090" t="str">
        <v>[]</v>
      </c>
    </row>
    <row r="1091">
      <c r="A1091" t="str">
        <v>LBL-PCCHLT24G</v>
      </c>
      <c r="B1091" t="str">
        <v/>
      </c>
      <c r="C1091">
        <v>0</v>
      </c>
      <c r="D1091" t="str">
        <v>[]</v>
      </c>
    </row>
    <row r="1092">
      <c r="A1092" t="str">
        <v>LBL-PCVRBQ-EA50G</v>
      </c>
      <c r="B1092" t="str">
        <v/>
      </c>
      <c r="C1092">
        <v>0</v>
      </c>
      <c r="D1092" t="str">
        <v>[]</v>
      </c>
    </row>
    <row r="1093">
      <c r="A1093" t="str">
        <v>LBL-PCVRBQ-RL18G</v>
      </c>
      <c r="B1093" t="str">
        <v/>
      </c>
      <c r="C1093">
        <v>0</v>
      </c>
      <c r="D1093" t="str">
        <v>[]</v>
      </c>
    </row>
    <row r="1094">
      <c r="A1094" t="str">
        <v>LBL-PCVROR-RL18G</v>
      </c>
      <c r="B1094" t="str">
        <v/>
      </c>
      <c r="C1094">
        <v>0</v>
      </c>
      <c r="D1094" t="str">
        <v>[]</v>
      </c>
    </row>
    <row r="1095">
      <c r="A1095" t="str">
        <v>LBL-PEARLIZEMBS</v>
      </c>
      <c r="B1095" t="str">
        <v/>
      </c>
      <c r="C1095">
        <v>0</v>
      </c>
      <c r="D1095" t="str">
        <v>[]</v>
      </c>
    </row>
    <row r="1096">
      <c r="A1096" t="str">
        <v>LBL-PEARLIZEOSJ</v>
      </c>
      <c r="B1096" t="str">
        <v/>
      </c>
      <c r="C1096">
        <v>0</v>
      </c>
      <c r="D1096" t="str">
        <v>[]</v>
      </c>
    </row>
    <row r="1097">
      <c r="A1097" t="str">
        <v>LBL-PEARLIZERP</v>
      </c>
      <c r="B1097" t="str">
        <v/>
      </c>
      <c r="C1097">
        <v>0</v>
      </c>
      <c r="D1097" t="str">
        <v>[]</v>
      </c>
    </row>
    <row r="1098">
      <c r="A1098" t="str">
        <v>LBL-PEARLIZESMARTC</v>
      </c>
      <c r="B1098" t="str">
        <v/>
      </c>
      <c r="C1098">
        <v>0</v>
      </c>
      <c r="D1098" t="str">
        <v>[]</v>
      </c>
    </row>
    <row r="1099">
      <c r="A1099" t="str">
        <v>LBL-PEARLIZESPNC</v>
      </c>
      <c r="B1099" t="str">
        <v/>
      </c>
      <c r="C1099">
        <v>0</v>
      </c>
      <c r="D1099" t="str">
        <v>[]</v>
      </c>
    </row>
    <row r="1100">
      <c r="A1100" t="str">
        <v>LBL-PNTASDLM32G</v>
      </c>
      <c r="B1100" t="str">
        <v/>
      </c>
      <c r="C1100">
        <v>0</v>
      </c>
      <c r="D1100" t="str">
        <v>[]</v>
      </c>
    </row>
    <row r="1101">
      <c r="A1101" t="str">
        <v>LBL-PNTBTRLM30</v>
      </c>
      <c r="B1101" t="str">
        <v/>
      </c>
      <c r="C1101">
        <v>0</v>
      </c>
      <c r="D1101" t="str">
        <v>[]</v>
      </c>
    </row>
    <row r="1102">
      <c r="A1102" t="str">
        <v>LBL-PNTCRBLM30</v>
      </c>
      <c r="B1102" t="str">
        <v/>
      </c>
      <c r="C1102">
        <v>0</v>
      </c>
      <c r="D1102" t="str">
        <v>[]</v>
      </c>
    </row>
    <row r="1103">
      <c r="A1103" t="str">
        <v>LBL-PNTSQDLM32G</v>
      </c>
      <c r="B1103" t="str">
        <v/>
      </c>
      <c r="C1103">
        <v>0</v>
      </c>
      <c r="D1103" t="str">
        <v>[]</v>
      </c>
    </row>
    <row r="1104">
      <c r="A1104" t="str">
        <v>LBL-PWHGMA28</v>
      </c>
      <c r="B1104" t="str">
        <v/>
      </c>
      <c r="C1104">
        <v>0</v>
      </c>
      <c r="D1104" t="str">
        <v>[]</v>
      </c>
    </row>
    <row r="1105">
      <c r="A1105" t="str">
        <v>LBL-PWHGXB8</v>
      </c>
      <c r="B1105" t="str">
        <v/>
      </c>
      <c r="C1105">
        <v>0</v>
      </c>
      <c r="D1105" t="str">
        <v>[]</v>
      </c>
    </row>
    <row r="1106">
      <c r="A1106" t="str">
        <v>LBL-RCCHCKXS6G</v>
      </c>
      <c r="B1106" t="str">
        <v/>
      </c>
      <c r="C1106">
        <v>0</v>
      </c>
      <c r="D1106" t="str">
        <v>[]</v>
      </c>
    </row>
    <row r="1107">
      <c r="A1107" t="str">
        <v>LBL-SBPCL18G</v>
      </c>
      <c r="B1107" t="str">
        <v/>
      </c>
      <c r="C1107">
        <v>0</v>
      </c>
      <c r="D1107" t="str">
        <v>[]</v>
      </c>
    </row>
    <row r="1108">
      <c r="A1108" t="str">
        <v>LBL-SBPCL18G_NS</v>
      </c>
      <c r="B1108" t="str">
        <v/>
      </c>
      <c r="C1108">
        <v>0</v>
      </c>
      <c r="D1108" t="str">
        <v>[]</v>
      </c>
    </row>
    <row r="1109">
      <c r="A1109" t="str">
        <v>LBL-SOPCSA15G-H</v>
      </c>
      <c r="B1109" t="str">
        <v/>
      </c>
      <c r="C1109">
        <v>0</v>
      </c>
      <c r="D1109" t="str">
        <v>[]</v>
      </c>
    </row>
    <row r="1110">
      <c r="A1110" t="str">
        <v>LBL-SPNGBSTB15G</v>
      </c>
      <c r="B1110" t="str">
        <v/>
      </c>
      <c r="C1110">
        <v>0</v>
      </c>
      <c r="D1110" t="str">
        <v>[]</v>
      </c>
    </row>
    <row r="1111">
      <c r="A1111" t="str">
        <v>LBL-SSCXS6G</v>
      </c>
      <c r="B1111" t="str">
        <v/>
      </c>
      <c r="C1111">
        <v>0</v>
      </c>
      <c r="D1111" t="str">
        <v>[]</v>
      </c>
    </row>
    <row r="1112">
      <c r="A1112" t="str">
        <v>LBL-STAGPSBM60G</v>
      </c>
      <c r="B1112" t="str">
        <v/>
      </c>
      <c r="C1112">
        <v>0</v>
      </c>
      <c r="D1112" t="str">
        <v>[]</v>
      </c>
    </row>
    <row r="1113">
      <c r="A1113" t="str">
        <v>LBL-STAGSVBM60G</v>
      </c>
      <c r="B1113" t="str">
        <v/>
      </c>
      <c r="C1113">
        <v>0</v>
      </c>
      <c r="D1113" t="str">
        <v>[]</v>
      </c>
    </row>
    <row r="1114">
      <c r="A1114" t="str">
        <v>LBL-STAT45G</v>
      </c>
      <c r="B1114" t="str">
        <v/>
      </c>
      <c r="C1114">
        <v>0</v>
      </c>
      <c r="D1114" t="str">
        <v>[]</v>
      </c>
    </row>
    <row r="1115">
      <c r="A1115" t="str">
        <v>LBL-STCT35G</v>
      </c>
      <c r="B1115" t="str">
        <v/>
      </c>
      <c r="C1115">
        <v>0</v>
      </c>
      <c r="D1115" t="str">
        <v>[]</v>
      </c>
    </row>
    <row r="1116">
      <c r="A1116" t="str">
        <v>LBL-STGT45G</v>
      </c>
      <c r="B1116" t="str">
        <v/>
      </c>
      <c r="C1116">
        <v>0</v>
      </c>
      <c r="D1116" t="str">
        <v>[]</v>
      </c>
    </row>
    <row r="1117">
      <c r="A1117" t="str">
        <v>LBL-STLT15G</v>
      </c>
      <c r="B1117" t="str">
        <v/>
      </c>
      <c r="C1117">
        <v>0</v>
      </c>
      <c r="D1117" t="str">
        <v>[]</v>
      </c>
    </row>
    <row r="1118">
      <c r="A1118" t="str">
        <v>LBL-STLT35G</v>
      </c>
      <c r="B1118" t="str">
        <v/>
      </c>
      <c r="C1118">
        <v>0</v>
      </c>
      <c r="D1118" t="str">
        <v>[]</v>
      </c>
    </row>
    <row r="1119">
      <c r="A1119" t="str">
        <v>LBL-STLT45G</v>
      </c>
      <c r="B1119" t="str">
        <v/>
      </c>
      <c r="C1119">
        <v>0</v>
      </c>
      <c r="D1119" t="str">
        <v>[]</v>
      </c>
    </row>
    <row r="1120">
      <c r="A1120" t="str">
        <v>LBL-STSFA15G</v>
      </c>
      <c r="B1120" t="str">
        <v/>
      </c>
      <c r="C1120">
        <v>0</v>
      </c>
      <c r="D1120" t="str">
        <v>[]</v>
      </c>
    </row>
    <row r="1121">
      <c r="A1121" t="str">
        <v>LBL-STST35G</v>
      </c>
      <c r="B1121" t="str">
        <v/>
      </c>
      <c r="C1121">
        <v>0</v>
      </c>
      <c r="D1121" t="str">
        <v>[]</v>
      </c>
    </row>
    <row r="1122">
      <c r="A1122" t="str">
        <v>LBL-STST45G</v>
      </c>
      <c r="B1122" t="str">
        <v/>
      </c>
      <c r="C1122">
        <v>0</v>
      </c>
      <c r="D1122" t="str">
        <v>[]</v>
      </c>
    </row>
    <row r="1123">
      <c r="A1123" t="str">
        <v>LBL-TPCHZLS34G</v>
      </c>
      <c r="B1123" t="str">
        <v/>
      </c>
      <c r="C1123">
        <v>0</v>
      </c>
      <c r="D1123" t="str">
        <v>[]</v>
      </c>
    </row>
    <row r="1124">
      <c r="A1124" t="str">
        <v>LBL-TPCHZSB15G</v>
      </c>
      <c r="B1124" t="str">
        <v/>
      </c>
      <c r="C1124">
        <v>0</v>
      </c>
      <c r="D1124" t="str">
        <v>[]</v>
      </c>
    </row>
    <row r="1125">
      <c r="A1125" t="str">
        <v>LBL-TSCL20G</v>
      </c>
      <c r="B1125" t="str">
        <v/>
      </c>
      <c r="C1125">
        <v>0</v>
      </c>
      <c r="D1125" t="str">
        <v>[]</v>
      </c>
    </row>
    <row r="1126">
      <c r="A1126" t="str">
        <v>LBL-TSCUA80G</v>
      </c>
      <c r="B1126" t="str">
        <v/>
      </c>
      <c r="C1126">
        <v>0</v>
      </c>
      <c r="D1126" t="str">
        <v>[]</v>
      </c>
    </row>
    <row r="1127">
      <c r="A1127" t="str">
        <v>LBL-TUCPBQ-L-16G</v>
      </c>
      <c r="B1127" t="str">
        <v/>
      </c>
      <c r="C1127">
        <v>0</v>
      </c>
      <c r="D1127" t="str">
        <v>[]</v>
      </c>
    </row>
    <row r="1128">
      <c r="A1128" t="str">
        <v>LBL-TUCPCC-L-16G</v>
      </c>
      <c r="B1128" t="str">
        <v/>
      </c>
      <c r="C1128">
        <v>0</v>
      </c>
      <c r="D1128" t="str">
        <v>[]</v>
      </c>
    </row>
    <row r="1129">
      <c r="A1129" t="str">
        <v>LBL-TUCPCH-L-16G</v>
      </c>
      <c r="B1129" t="str">
        <v/>
      </c>
      <c r="C1129">
        <v>0</v>
      </c>
      <c r="D1129" t="str">
        <v>[]</v>
      </c>
    </row>
    <row r="1130">
      <c r="A1130" t="str">
        <v>5</v>
      </c>
      <c r="B1130" t="str">
        <v/>
      </c>
      <c r="C1130">
        <v>0</v>
      </c>
      <c r="D1130" t="str">
        <v>[]</v>
      </c>
    </row>
    <row r="1131">
      <c r="A1131" t="str">
        <v>GAWGAWAN ITEMS C/O DIOSSA</v>
      </c>
      <c r="B1131" t="str">
        <v/>
      </c>
      <c r="C1131">
        <v>0</v>
      </c>
      <c r="D1131" t="str">
        <v>[]</v>
      </c>
    </row>
    <row r="1132">
      <c r="A1132" t="str">
        <v>LBL-KLGAA1K</v>
      </c>
      <c r="B1132" t="str">
        <v/>
      </c>
      <c r="C1132">
        <v>0</v>
      </c>
      <c r="D1132" t="str">
        <v>[]</v>
      </c>
    </row>
    <row r="1133">
      <c r="A1133" t="str">
        <v>LBL-KLGAB-1K2K</v>
      </c>
      <c r="B1133" t="str">
        <v/>
      </c>
      <c r="C1133">
        <v>0</v>
      </c>
      <c r="D1133" t="str">
        <v>[]</v>
      </c>
    </row>
    <row r="1134">
      <c r="A1134" t="str">
        <v>LBL-KLGAD165G</v>
      </c>
      <c r="B1134" t="str">
        <v/>
      </c>
      <c r="C1134">
        <v>0</v>
      </c>
      <c r="D1134" t="str">
        <v>[]</v>
      </c>
    </row>
    <row r="1135">
      <c r="A1135" t="str">
        <v>LBL-KLGAF75G</v>
      </c>
      <c r="B1135" t="str">
        <v/>
      </c>
      <c r="C1135">
        <v>0</v>
      </c>
      <c r="D1135" t="str">
        <v>[]</v>
      </c>
    </row>
    <row r="1136">
      <c r="A1136" t="str">
        <v>LBL-KLGAG45G</v>
      </c>
      <c r="B1136" t="str">
        <v/>
      </c>
      <c r="C1136">
        <v>0</v>
      </c>
      <c r="D1136" t="str">
        <v>[]</v>
      </c>
    </row>
    <row r="1137">
      <c r="A1137" t="str">
        <v>LBL-KRAFTAA</v>
      </c>
      <c r="B1137" t="str">
        <v/>
      </c>
      <c r="C1137">
        <v>0</v>
      </c>
      <c r="D1137" t="str">
        <v>[]</v>
      </c>
    </row>
    <row r="1138">
      <c r="A1138" t="str">
        <v>LBL-KRAFTAB</v>
      </c>
      <c r="B1138" t="str">
        <v/>
      </c>
      <c r="C1138">
        <v>0</v>
      </c>
      <c r="D1138" t="str">
        <v>[]</v>
      </c>
    </row>
    <row r="1139">
      <c r="A1139" t="str">
        <v>COLLECTIBLES-2017</v>
      </c>
      <c r="B1139" t="str">
        <v/>
      </c>
      <c r="C1139">
        <v>0</v>
      </c>
      <c r="D1139" t="str">
        <v>[]</v>
      </c>
    </row>
    <row r="1140">
      <c r="A1140" t="str">
        <v>CTN-GB-TE-2017</v>
      </c>
      <c r="B1140" t="str">
        <v/>
      </c>
      <c r="C1140">
        <v>0</v>
      </c>
      <c r="D1140" t="str">
        <v>[]</v>
      </c>
    </row>
    <row r="1141">
      <c r="A1141" t="str">
        <v>CTN-GB-2017</v>
      </c>
      <c r="B1141" t="str">
        <v/>
      </c>
      <c r="C1141">
        <v>0</v>
      </c>
      <c r="D1141" t="str">
        <v>[]</v>
      </c>
    </row>
    <row r="1142">
      <c r="A1142" t="str">
        <v>CTN-GB-TE</v>
      </c>
      <c r="B1142" t="str">
        <v/>
      </c>
      <c r="C1142">
        <v>0</v>
      </c>
      <c r="D1142" t="str">
        <v>[]</v>
      </c>
    </row>
    <row r="1143">
      <c r="A1143" t="str">
        <v>BAG-CUCKOO-2017</v>
      </c>
      <c r="B1143" t="str">
        <v/>
      </c>
      <c r="C1143">
        <v>0</v>
      </c>
      <c r="D1143" t="str">
        <v>[]</v>
      </c>
    </row>
    <row r="1144">
      <c r="A1144" t="str">
        <v>BAG-CUCKOO-2018</v>
      </c>
      <c r="B1144" t="str">
        <v/>
      </c>
      <c r="C1144">
        <v>0</v>
      </c>
      <c r="D1144" t="str">
        <v>[]</v>
      </c>
    </row>
    <row r="1145">
      <c r="A1145" t="str">
        <v>BAG-CUCKOO-2019</v>
      </c>
      <c r="B1145" t="str">
        <v/>
      </c>
      <c r="C1145">
        <v>0</v>
      </c>
      <c r="D1145" t="str">
        <v>[]</v>
      </c>
    </row>
    <row r="1146">
      <c r="A1146" t="str">
        <v>BAG-CUCKOO</v>
      </c>
      <c r="B1146" t="str">
        <v/>
      </c>
      <c r="C1146">
        <v>0</v>
      </c>
      <c r="D1146" t="str">
        <v>[]</v>
      </c>
    </row>
    <row r="1147">
      <c r="A1147" t="str">
        <v>BAG-OWOW</v>
      </c>
      <c r="B1147" t="str">
        <v/>
      </c>
      <c r="C1147">
        <v>0</v>
      </c>
      <c r="D1147" t="str">
        <v>[]</v>
      </c>
    </row>
    <row r="1148">
      <c r="A1148" t="str">
        <v>BAG-SNACKTACULAR</v>
      </c>
      <c r="B1148" t="str">
        <v/>
      </c>
      <c r="C1148">
        <v>0</v>
      </c>
      <c r="D1148" t="str">
        <v>[]</v>
      </c>
    </row>
    <row r="1149">
      <c r="A1149" t="str">
        <v>BAG-WEESHEE-2017</v>
      </c>
      <c r="B1149" t="str">
        <v/>
      </c>
      <c r="C1149">
        <v>0</v>
      </c>
      <c r="D1149" t="str">
        <v>[]</v>
      </c>
    </row>
    <row r="1150">
      <c r="A1150" t="str">
        <v>BAG-WEESHEE-2018</v>
      </c>
      <c r="B1150" t="str">
        <v/>
      </c>
      <c r="C1150">
        <v>0</v>
      </c>
      <c r="D1150" t="str">
        <v>[]</v>
      </c>
    </row>
    <row r="1151">
      <c r="A1151" t="str">
        <v>BAG-WEESHEE-2019</v>
      </c>
      <c r="B1151" t="str">
        <v/>
      </c>
      <c r="C1151">
        <v>0</v>
      </c>
      <c r="D1151" t="str">
        <v>[]</v>
      </c>
    </row>
    <row r="1152">
      <c r="A1152" t="str">
        <v>BAG-WEESHEE</v>
      </c>
      <c r="B1152" t="str">
        <v/>
      </c>
      <c r="C1152">
        <v>0</v>
      </c>
      <c r="D1152" t="str">
        <v>[]</v>
      </c>
    </row>
    <row r="1153">
      <c r="A1153" t="str">
        <v>CTN-CUCKOO-2017</v>
      </c>
      <c r="B1153" t="str">
        <v/>
      </c>
      <c r="C1153">
        <v>0</v>
      </c>
      <c r="D1153" t="str">
        <v>[]</v>
      </c>
    </row>
    <row r="1154">
      <c r="A1154" t="str">
        <v>CTN-CUCKOO-2018</v>
      </c>
      <c r="B1154" t="str">
        <v/>
      </c>
      <c r="C1154">
        <v>0</v>
      </c>
      <c r="D1154" t="str">
        <v>[]</v>
      </c>
    </row>
    <row r="1155">
      <c r="A1155" t="str">
        <v>CTN-CUCKOO-2019</v>
      </c>
      <c r="B1155" t="str">
        <v/>
      </c>
      <c r="C1155">
        <v>0</v>
      </c>
      <c r="D1155" t="str">
        <v>[]</v>
      </c>
    </row>
    <row r="1156">
      <c r="A1156" t="str">
        <v>CTN-CUCKOO</v>
      </c>
      <c r="B1156" t="str">
        <v/>
      </c>
      <c r="C1156">
        <v>0</v>
      </c>
      <c r="D1156" t="str">
        <v>[]</v>
      </c>
    </row>
    <row r="1157">
      <c r="A1157" t="str">
        <v>CTN-O-WOW-70TH</v>
      </c>
      <c r="B1157" t="str">
        <v/>
      </c>
      <c r="C1157">
        <v>0</v>
      </c>
      <c r="D1157" t="str">
        <v>[]</v>
      </c>
    </row>
    <row r="1158">
      <c r="A1158" t="str">
        <v>CTN-OWOW</v>
      </c>
      <c r="B1158" t="str">
        <v/>
      </c>
      <c r="C1158">
        <v>0</v>
      </c>
      <c r="D1158" t="str">
        <v>[]</v>
      </c>
    </row>
    <row r="1159">
      <c r="A1159" t="str">
        <v>CTN-SNACKTACULAR</v>
      </c>
      <c r="B1159" t="str">
        <v/>
      </c>
      <c r="C1159">
        <v>0</v>
      </c>
      <c r="D1159" t="str">
        <v>[]</v>
      </c>
    </row>
    <row r="1160">
      <c r="A1160" t="str">
        <v>CTN-WEESHEE-2017</v>
      </c>
      <c r="B1160" t="str">
        <v/>
      </c>
      <c r="C1160">
        <v>0</v>
      </c>
      <c r="D1160" t="str">
        <v>[]</v>
      </c>
    </row>
    <row r="1161">
      <c r="A1161" t="str">
        <v>CTN-WEESHEE-2018</v>
      </c>
      <c r="B1161" t="str">
        <v/>
      </c>
      <c r="C1161">
        <v>0</v>
      </c>
      <c r="D1161" t="str">
        <v>[]</v>
      </c>
    </row>
    <row r="1162">
      <c r="A1162" t="str">
        <v>CTN-WEESHEE-2019</v>
      </c>
      <c r="B1162" t="str">
        <v/>
      </c>
      <c r="C1162">
        <v>0</v>
      </c>
      <c r="D1162" t="str">
        <v>[]</v>
      </c>
    </row>
    <row r="1163">
      <c r="A1163" t="str">
        <v>CTN-WEESHEE</v>
      </c>
      <c r="B1163" t="str">
        <v/>
      </c>
      <c r="C1163">
        <v>0</v>
      </c>
      <c r="D1163" t="str">
        <v>[]</v>
      </c>
    </row>
    <row r="1164">
      <c r="A1164" t="str">
        <v>PRODUCTION DATE</v>
      </c>
      <c r="B1164" t="str">
        <v/>
      </c>
      <c r="C1164">
        <v>0</v>
      </c>
      <c r="D1164" t="str">
        <v>[]</v>
      </c>
    </row>
    <row r="1165">
      <c r="A1165" t="str">
        <v>PDS-BB-01</v>
      </c>
      <c r="B1165" t="str">
        <v/>
      </c>
      <c r="C1165">
        <v>0</v>
      </c>
      <c r="D1165" t="str">
        <v>[]</v>
      </c>
    </row>
    <row r="1166">
      <c r="A1166" t="str">
        <v>PDS-BB-02</v>
      </c>
      <c r="B1166" t="str">
        <v/>
      </c>
      <c r="C1166">
        <v>0</v>
      </c>
      <c r="D1166" t="str">
        <v>[]</v>
      </c>
    </row>
    <row r="1167">
      <c r="A1167" t="str">
        <v>PDS-BB-03</v>
      </c>
      <c r="B1167" t="str">
        <v/>
      </c>
      <c r="C1167">
        <v>0</v>
      </c>
      <c r="D1167" t="str">
        <v>[]</v>
      </c>
    </row>
    <row r="1168">
      <c r="A1168" t="str">
        <v>PDS-BB-04</v>
      </c>
      <c r="B1168" t="str">
        <v/>
      </c>
      <c r="C1168">
        <v>0</v>
      </c>
      <c r="D1168" t="str">
        <v>[]</v>
      </c>
    </row>
    <row r="1169">
      <c r="A1169" t="str">
        <v>PDS-BB-05</v>
      </c>
      <c r="B1169" t="str">
        <v/>
      </c>
      <c r="C1169">
        <v>0</v>
      </c>
      <c r="D1169" t="str">
        <v>[]</v>
      </c>
    </row>
    <row r="1170">
      <c r="A1170" t="str">
        <v>PDS-BB-06</v>
      </c>
      <c r="B1170" t="str">
        <v/>
      </c>
      <c r="C1170">
        <v>0</v>
      </c>
      <c r="D1170" t="str">
        <v>[]</v>
      </c>
    </row>
    <row r="1171">
      <c r="A1171" t="str">
        <v>PDS-BB-07</v>
      </c>
      <c r="B1171" t="str">
        <v/>
      </c>
      <c r="C1171">
        <v>0</v>
      </c>
      <c r="D1171" t="str">
        <v>[]</v>
      </c>
    </row>
    <row r="1172">
      <c r="A1172" t="str">
        <v>PDS-BB-08</v>
      </c>
      <c r="B1172" t="str">
        <v/>
      </c>
      <c r="C1172">
        <v>0</v>
      </c>
      <c r="D1172" t="str">
        <v>[]</v>
      </c>
    </row>
    <row r="1173">
      <c r="A1173" t="str">
        <v>PDS-BB-09</v>
      </c>
      <c r="B1173" t="str">
        <v/>
      </c>
      <c r="C1173">
        <v>0</v>
      </c>
      <c r="D1173" t="str">
        <v>[]</v>
      </c>
    </row>
    <row r="1174">
      <c r="A1174" t="str">
        <v>PDS-BB-10</v>
      </c>
      <c r="B1174" t="str">
        <v/>
      </c>
      <c r="C1174">
        <v>0</v>
      </c>
      <c r="D1174" t="str">
        <v>[]</v>
      </c>
    </row>
    <row r="1175">
      <c r="A1175" t="str">
        <v>PDS-BB-11</v>
      </c>
      <c r="B1175" t="str">
        <v/>
      </c>
      <c r="C1175">
        <v>0</v>
      </c>
      <c r="D1175" t="str">
        <v>[]</v>
      </c>
    </row>
    <row r="1176">
      <c r="A1176" t="str">
        <v>PDS-BB-12</v>
      </c>
      <c r="B1176" t="str">
        <v/>
      </c>
      <c r="C1176">
        <v>0</v>
      </c>
      <c r="D1176" t="str">
        <v>[]</v>
      </c>
    </row>
    <row r="1177">
      <c r="A1177" t="str">
        <v>SQUARE STICKER(L SIZE)</v>
      </c>
      <c r="B1177" t="str">
        <v/>
      </c>
      <c r="C1177">
        <v>0</v>
      </c>
      <c r="D1177" t="str">
        <v>[]</v>
      </c>
    </row>
    <row r="1178">
      <c r="A1178" t="str">
        <v>STK-4XSWC-L100</v>
      </c>
      <c r="B1178" t="str">
        <v/>
      </c>
      <c r="C1178">
        <v>0</v>
      </c>
      <c r="D1178" t="str">
        <v>[]</v>
      </c>
    </row>
    <row r="1179">
      <c r="A1179" t="str">
        <v>STK-OPC-L100</v>
      </c>
      <c r="B1179" t="str">
        <v/>
      </c>
      <c r="C1179">
        <v>0</v>
      </c>
      <c r="D1179" t="str">
        <v>[]</v>
      </c>
    </row>
    <row r="1180">
      <c r="A1180" t="str">
        <v>STK-CRP-L100</v>
      </c>
      <c r="B1180" t="str">
        <v/>
      </c>
      <c r="C1180">
        <v>0</v>
      </c>
      <c r="D1180" t="str">
        <v>[]</v>
      </c>
    </row>
    <row r="1181">
      <c r="A1181" t="str">
        <v>STK-CRPCH-FA50</v>
      </c>
      <c r="B1181" t="str">
        <v/>
      </c>
      <c r="C1181">
        <v>0</v>
      </c>
      <c r="D1181" t="str">
        <v>[]</v>
      </c>
    </row>
    <row r="1182">
      <c r="A1182" t="str">
        <v>STK-CRP-FA50</v>
      </c>
      <c r="B1182" t="str">
        <v/>
      </c>
      <c r="C1182">
        <v>0</v>
      </c>
      <c r="D1182" t="str">
        <v>[]</v>
      </c>
    </row>
    <row r="1183">
      <c r="A1183" t="str">
        <v>STK-RCS-FA50</v>
      </c>
      <c r="B1183" t="str">
        <v/>
      </c>
      <c r="C1183">
        <v>0</v>
      </c>
      <c r="D1183" t="str">
        <v>[]</v>
      </c>
    </row>
    <row r="1184">
      <c r="A1184" t="str">
        <v>STK-CRZBQ-L100</v>
      </c>
      <c r="B1184" t="str">
        <v/>
      </c>
      <c r="C1184">
        <v>0</v>
      </c>
      <c r="D1184" t="str">
        <v>[]</v>
      </c>
    </row>
    <row r="1185">
      <c r="A1185" t="str">
        <v>STK-HEXO-MF100</v>
      </c>
      <c r="B1185" t="str">
        <v/>
      </c>
      <c r="C1185">
        <v>0</v>
      </c>
      <c r="D1185" t="str">
        <v>[]</v>
      </c>
    </row>
    <row r="1186">
      <c r="A1186" t="str">
        <v>STK-SOPC-L100</v>
      </c>
      <c r="B1186" t="str">
        <v/>
      </c>
      <c r="C1186">
        <v>0</v>
      </c>
      <c r="D1186" t="str">
        <v>[]</v>
      </c>
    </row>
    <row r="1187">
      <c r="A1187" t="str">
        <v>STK-EHOPC-L100</v>
      </c>
      <c r="B1187" t="str">
        <v/>
      </c>
      <c r="C1187">
        <v>0</v>
      </c>
      <c r="D1187" t="str">
        <v>[]</v>
      </c>
    </row>
    <row r="1188">
      <c r="A1188" t="str">
        <v>STK-COC-L100</v>
      </c>
      <c r="B1188" t="str">
        <v/>
      </c>
      <c r="C1188">
        <v>0</v>
      </c>
      <c r="D1188" t="str">
        <v>[]</v>
      </c>
    </row>
    <row r="1189">
      <c r="A1189" t="str">
        <v>STK-RC-L100</v>
      </c>
      <c r="B1189" t="str">
        <v/>
      </c>
      <c r="C1189">
        <v>0</v>
      </c>
      <c r="D1189" t="str">
        <v>[]</v>
      </c>
    </row>
    <row r="1190">
      <c r="A1190" t="str">
        <v>STK-OFC-L100</v>
      </c>
      <c r="B1190" t="str">
        <v/>
      </c>
      <c r="C1190">
        <v>0</v>
      </c>
      <c r="D1190" t="str">
        <v>[]</v>
      </c>
    </row>
    <row r="1191">
      <c r="A1191" t="str">
        <v>STK-RCS-L100</v>
      </c>
      <c r="B1191" t="str">
        <v/>
      </c>
      <c r="C1191">
        <v>0</v>
      </c>
      <c r="D1191" t="str">
        <v>[]</v>
      </c>
    </row>
    <row r="1192">
      <c r="A1192" t="str">
        <v>STK-BGM-L100</v>
      </c>
      <c r="B1192" t="str">
        <v/>
      </c>
      <c r="C1192">
        <v>0</v>
      </c>
      <c r="D1192" t="str">
        <v>[]</v>
      </c>
    </row>
    <row r="1193">
      <c r="A1193" t="str">
        <v>STK-SSC-L100</v>
      </c>
      <c r="B1193" t="str">
        <v/>
      </c>
      <c r="C1193">
        <v>0</v>
      </c>
      <c r="D1193" t="str">
        <v>[]</v>
      </c>
    </row>
    <row r="1194">
      <c r="A1194" t="str">
        <v>STK-CHCLB-LB100</v>
      </c>
      <c r="B1194" t="str">
        <v/>
      </c>
      <c r="C1194">
        <v>0</v>
      </c>
      <c r="D1194" t="str">
        <v>[]</v>
      </c>
    </row>
    <row r="1195">
      <c r="A1195" t="str">
        <v>STK-OOR-L100</v>
      </c>
      <c r="B1195" t="str">
        <v/>
      </c>
      <c r="C1195">
        <v>0</v>
      </c>
      <c r="D1195" t="str">
        <v>[]</v>
      </c>
    </row>
    <row r="1196">
      <c r="A1196" t="str">
        <v>STK-CO-L100</v>
      </c>
      <c r="B1196" t="str">
        <v/>
      </c>
      <c r="C1196">
        <v>0</v>
      </c>
      <c r="D1196" t="str">
        <v>[]</v>
      </c>
    </row>
    <row r="1197">
      <c r="A1197" t="str">
        <v>STK-KYF-L100</v>
      </c>
      <c r="B1197" t="str">
        <v/>
      </c>
      <c r="C1197">
        <v>0</v>
      </c>
      <c r="D1197" t="str">
        <v>[]</v>
      </c>
    </row>
    <row r="1198">
      <c r="A1198" t="str">
        <v>STK-MCSVF-LB100</v>
      </c>
      <c r="B1198" t="str">
        <v/>
      </c>
      <c r="C1198">
        <v>0</v>
      </c>
      <c r="D1198" t="str">
        <v>[]</v>
      </c>
    </row>
    <row r="1199">
      <c r="A1199" t="str">
        <v>STK-MCPS-LB100</v>
      </c>
      <c r="B1199" t="str">
        <v/>
      </c>
      <c r="C1199">
        <v>0</v>
      </c>
      <c r="D1199" t="str">
        <v>[]</v>
      </c>
    </row>
    <row r="1200">
      <c r="A1200" t="str">
        <v>STK-MCSV-LB100</v>
      </c>
      <c r="B1200" t="str">
        <v/>
      </c>
      <c r="C1200">
        <v>0</v>
      </c>
      <c r="D1200" t="str">
        <v>[]</v>
      </c>
    </row>
    <row r="1201">
      <c r="A1201" t="str">
        <v>STK-MCCI-LB100</v>
      </c>
      <c r="B1201" t="str">
        <v/>
      </c>
      <c r="C1201">
        <v>0</v>
      </c>
      <c r="D1201" t="str">
        <v>[]</v>
      </c>
    </row>
    <row r="1202">
      <c r="A1202" t="str">
        <v>STK-MCSVF-LK100</v>
      </c>
      <c r="B1202" t="str">
        <v/>
      </c>
      <c r="C1202">
        <v>0</v>
      </c>
      <c r="D1202" t="str">
        <v>[]</v>
      </c>
    </row>
    <row r="1203">
      <c r="A1203" t="str">
        <v>STK-MCPS-LK100</v>
      </c>
      <c r="B1203" t="str">
        <v/>
      </c>
      <c r="C1203">
        <v>0</v>
      </c>
      <c r="D1203" t="str">
        <v>[]</v>
      </c>
    </row>
    <row r="1204">
      <c r="A1204" t="str">
        <v>STK-MCSV-LK100</v>
      </c>
      <c r="B1204" t="str">
        <v/>
      </c>
      <c r="C1204">
        <v>0</v>
      </c>
      <c r="D1204" t="str">
        <v>[]</v>
      </c>
    </row>
    <row r="1205">
      <c r="A1205" t="str">
        <v>STK-MCCI-LK100</v>
      </c>
      <c r="B1205" t="str">
        <v/>
      </c>
      <c r="C1205">
        <v>0</v>
      </c>
      <c r="D1205" t="str">
        <v>[]</v>
      </c>
    </row>
    <row r="1206">
      <c r="A1206" t="str">
        <v>STK-PF-LB100</v>
      </c>
      <c r="B1206" t="str">
        <v/>
      </c>
      <c r="C1206">
        <v>0</v>
      </c>
      <c r="D1206" t="str">
        <v>[]</v>
      </c>
    </row>
    <row r="1207">
      <c r="A1207" t="str">
        <v>STK-PFK-LB100</v>
      </c>
      <c r="B1207" t="str">
        <v/>
      </c>
      <c r="C1207">
        <v>0</v>
      </c>
      <c r="D1207" t="str">
        <v>[]</v>
      </c>
    </row>
    <row r="1208">
      <c r="A1208" t="str">
        <v>STK-PFC-LB100</v>
      </c>
      <c r="B1208" t="str">
        <v/>
      </c>
      <c r="C1208">
        <v>0</v>
      </c>
      <c r="D1208" t="str">
        <v>[]</v>
      </c>
    </row>
    <row r="1209">
      <c r="A1209" t="str">
        <v>STK-PFBQ-LB100</v>
      </c>
      <c r="B1209" t="str">
        <v/>
      </c>
      <c r="C1209">
        <v>0</v>
      </c>
      <c r="D1209" t="str">
        <v>[]</v>
      </c>
    </row>
    <row r="1210">
      <c r="A1210" t="str">
        <v>STK-PPOW-LG100</v>
      </c>
      <c r="B1210" t="str">
        <v/>
      </c>
      <c r="C1210">
        <v>0</v>
      </c>
      <c r="D1210" t="str">
        <v>[]</v>
      </c>
    </row>
    <row r="1211">
      <c r="A1211" t="str">
        <v>STK-OFK-BA15</v>
      </c>
      <c r="B1211" t="str">
        <v/>
      </c>
      <c r="C1211">
        <v>0</v>
      </c>
      <c r="D1211" t="str">
        <v>[]</v>
      </c>
    </row>
    <row r="1212">
      <c r="A1212" t="str">
        <v>STK-OFK-LF100</v>
      </c>
      <c r="B1212" t="str">
        <v/>
      </c>
      <c r="C1212">
        <v>0</v>
      </c>
      <c r="D1212" t="str">
        <v>[]</v>
      </c>
    </row>
    <row r="1213">
      <c r="A1213" t="str">
        <v>STK-OCKCH-LA100</v>
      </c>
      <c r="B1213" t="str">
        <v/>
      </c>
      <c r="C1213">
        <v>0</v>
      </c>
      <c r="D1213" t="str">
        <v>[]</v>
      </c>
    </row>
    <row r="1214">
      <c r="A1214" t="str">
        <v>STK-OCNBQ-L100</v>
      </c>
      <c r="B1214" t="str">
        <v/>
      </c>
      <c r="C1214">
        <v>0</v>
      </c>
      <c r="D1214" t="str">
        <v>[]</v>
      </c>
    </row>
    <row r="1215">
      <c r="A1215" t="str">
        <v>STK-OSS-L100</v>
      </c>
      <c r="B1215" t="str">
        <v/>
      </c>
      <c r="C1215">
        <v>0</v>
      </c>
      <c r="D1215" t="str">
        <v>[]</v>
      </c>
    </row>
    <row r="1216">
      <c r="A1216" t="str">
        <v>STK-PNCBG-MF100</v>
      </c>
      <c r="B1216" t="str">
        <v/>
      </c>
      <c r="C1216">
        <v>0</v>
      </c>
      <c r="D1216" t="str">
        <v>[]</v>
      </c>
    </row>
    <row r="1217">
      <c r="A1217" t="str">
        <v>STK-PNCCH-MF100</v>
      </c>
      <c r="B1217" t="str">
        <v/>
      </c>
      <c r="C1217">
        <v>0</v>
      </c>
      <c r="D1217" t="str">
        <v>[]</v>
      </c>
    </row>
    <row r="1218">
      <c r="A1218" t="str">
        <v>STK-HEXCH-MF100</v>
      </c>
      <c r="B1218" t="str">
        <v/>
      </c>
      <c r="C1218">
        <v>0</v>
      </c>
      <c r="D1218" t="str">
        <v>[]</v>
      </c>
    </row>
    <row r="1219">
      <c r="A1219" t="str">
        <v>STK-POPCA-QC100</v>
      </c>
      <c r="B1219" t="str">
        <v/>
      </c>
      <c r="C1219">
        <v>0</v>
      </c>
      <c r="D1219" t="str">
        <v>[]</v>
      </c>
    </row>
    <row r="1220">
      <c r="A1220" t="str">
        <v>STK-POPMCC-QC100</v>
      </c>
      <c r="B1220" t="str">
        <v/>
      </c>
      <c r="C1220">
        <v>0</v>
      </c>
      <c r="D1220" t="str">
        <v>[]</v>
      </c>
    </row>
    <row r="1221">
      <c r="A1221" t="str">
        <v>STK-SHO-CHL100</v>
      </c>
      <c r="B1221" t="str">
        <v/>
      </c>
      <c r="C1221">
        <v>0</v>
      </c>
      <c r="D1221" t="str">
        <v>[]</v>
      </c>
    </row>
    <row r="1222">
      <c r="A1222" t="str">
        <v>STK-CROSBQ-LR100</v>
      </c>
      <c r="B1222" t="str">
        <v/>
      </c>
      <c r="C1222">
        <v>0</v>
      </c>
      <c r="D1222" t="str">
        <v>[]</v>
      </c>
    </row>
    <row r="1223">
      <c r="A1223" t="str">
        <v>STK-CROSNCH-LR100</v>
      </c>
      <c r="B1223" t="str">
        <v/>
      </c>
      <c r="C1223">
        <v>0</v>
      </c>
      <c r="D1223" t="str">
        <v>[]</v>
      </c>
    </row>
    <row r="1224">
      <c r="A1224" t="str">
        <v>STK-KCCH-LB100</v>
      </c>
      <c r="B1224" t="str">
        <v/>
      </c>
      <c r="C1224">
        <v>0</v>
      </c>
      <c r="D1224" t="str">
        <v>[]</v>
      </c>
    </row>
    <row r="1225">
      <c r="A1225" t="str">
        <v>STK-KCORI-LB100</v>
      </c>
      <c r="B1225" t="str">
        <v/>
      </c>
      <c r="C1225">
        <v>0</v>
      </c>
      <c r="D1225" t="str">
        <v>[]</v>
      </c>
    </row>
    <row r="1226">
      <c r="A1226" t="str">
        <v>STK-JPSP-LR20G</v>
      </c>
      <c r="B1226" t="str">
        <v/>
      </c>
      <c r="C1226">
        <v>0</v>
      </c>
      <c r="D1226" t="str">
        <v>[]</v>
      </c>
    </row>
    <row r="1227">
      <c r="A1227" t="str">
        <v>STK-JPSC-LR20G</v>
      </c>
      <c r="B1227" t="str">
        <v/>
      </c>
      <c r="C1227">
        <v>0</v>
      </c>
      <c r="D1227" t="str">
        <v>[]</v>
      </c>
    </row>
    <row r="1228">
      <c r="A1228" t="str">
        <v>STK-CCLCF-LR100</v>
      </c>
      <c r="B1228" t="str">
        <v/>
      </c>
      <c r="C1228">
        <v>0</v>
      </c>
      <c r="D1228" t="str">
        <v>[]</v>
      </c>
    </row>
    <row r="1229">
      <c r="A1229" t="str">
        <v>STK-STAGPS-L100</v>
      </c>
      <c r="B1229" t="str">
        <v/>
      </c>
      <c r="C1229">
        <v>0</v>
      </c>
      <c r="D1229" t="str">
        <v>[]</v>
      </c>
    </row>
    <row r="1230">
      <c r="A1230" t="str">
        <v>STK-STAGSV-L100</v>
      </c>
      <c r="B1230" t="str">
        <v/>
      </c>
      <c r="C1230">
        <v>0</v>
      </c>
      <c r="D1230" t="str">
        <v>[]</v>
      </c>
    </row>
    <row r="1231">
      <c r="A1231" t="str">
        <v>STK-PPSB-CHS-L100</v>
      </c>
      <c r="B1231" t="str">
        <v/>
      </c>
      <c r="C1231">
        <v>0</v>
      </c>
      <c r="D1231" t="str">
        <v>[]</v>
      </c>
    </row>
    <row r="1232">
      <c r="A1232" t="str">
        <v>STK-PPSB-SCL100</v>
      </c>
      <c r="B1232" t="str">
        <v/>
      </c>
      <c r="C1232">
        <v>0</v>
      </c>
      <c r="D1232" t="str">
        <v>[]</v>
      </c>
    </row>
    <row r="1233">
      <c r="A1233" t="str">
        <v>STK-TUCP-CC-L100</v>
      </c>
      <c r="B1233" t="str">
        <v/>
      </c>
      <c r="C1233">
        <v>0</v>
      </c>
      <c r="D1233" t="str">
        <v>[]</v>
      </c>
    </row>
    <row r="1234">
      <c r="A1234" t="str">
        <v>STK-TUCP-BQ-L100</v>
      </c>
      <c r="B1234" t="str">
        <v/>
      </c>
      <c r="C1234">
        <v>0</v>
      </c>
      <c r="D1234" t="str">
        <v>[]</v>
      </c>
    </row>
    <row r="1235">
      <c r="A1235" t="str">
        <v>STK-TUCP-CH-L100</v>
      </c>
      <c r="B1235" t="str">
        <v/>
      </c>
      <c r="C1235">
        <v>0</v>
      </c>
      <c r="D1235" t="str">
        <v>[]</v>
      </c>
    </row>
    <row r="1236">
      <c r="A1236" t="str">
        <v>STK-TTC-LK100</v>
      </c>
      <c r="B1236" t="str">
        <v/>
      </c>
      <c r="C1236">
        <v>0</v>
      </c>
      <c r="D1236" t="str">
        <v>[]</v>
      </c>
    </row>
    <row r="1237">
      <c r="A1237" t="str">
        <v>STK-OBCBQ-L</v>
      </c>
      <c r="B1237" t="str">
        <v/>
      </c>
      <c r="C1237">
        <v>0</v>
      </c>
      <c r="D1237" t="str">
        <v>[]</v>
      </c>
    </row>
    <row r="1238">
      <c r="A1238" t="str">
        <v>STK-OBCCH-L</v>
      </c>
      <c r="B1238" t="str">
        <v/>
      </c>
      <c r="C1238">
        <v>0</v>
      </c>
      <c r="D1238" t="str">
        <v>[]</v>
      </c>
    </row>
    <row r="1239">
      <c r="A1239" t="str">
        <v>STK-OZYS-L100</v>
      </c>
      <c r="B1239" t="str">
        <v/>
      </c>
      <c r="C1239">
        <v>0</v>
      </c>
      <c r="D1239" t="str">
        <v>[]</v>
      </c>
    </row>
    <row r="1240">
      <c r="A1240" t="str">
        <v>STK-OZSS-L100</v>
      </c>
      <c r="B1240" t="str">
        <v/>
      </c>
      <c r="C1240">
        <v>0</v>
      </c>
      <c r="D1240" t="str">
        <v>[]</v>
      </c>
    </row>
    <row r="1241">
      <c r="A1241" t="str">
        <v>STK-OSHK-UA</v>
      </c>
      <c r="B1241" t="str">
        <v/>
      </c>
      <c r="C1241">
        <v>0</v>
      </c>
      <c r="D1241" t="str">
        <v>[]</v>
      </c>
    </row>
    <row r="1242">
      <c r="A1242" t="str">
        <v>STK-OSHK-BH</v>
      </c>
      <c r="B1242" t="str">
        <v/>
      </c>
      <c r="C1242">
        <v>0</v>
      </c>
      <c r="D1242" t="str">
        <v>[]</v>
      </c>
    </row>
    <row r="1243">
      <c r="A1243" t="str">
        <v>STK-SKYF-L100</v>
      </c>
      <c r="B1243" t="str">
        <v/>
      </c>
      <c r="C1243">
        <v>0</v>
      </c>
      <c r="D1243" t="str">
        <v>[]</v>
      </c>
    </row>
    <row r="1244">
      <c r="A1244" t="str">
        <v>STK-OSHK-LK100</v>
      </c>
      <c r="B1244" t="str">
        <v/>
      </c>
      <c r="C1244">
        <v>0</v>
      </c>
      <c r="D1244" t="str">
        <v>[]</v>
      </c>
    </row>
    <row r="1245">
      <c r="A1245" t="str">
        <v>STK-OCKT-L100</v>
      </c>
      <c r="B1245" t="str">
        <v/>
      </c>
      <c r="C1245">
        <v>0</v>
      </c>
      <c r="D1245" t="str">
        <v>[]</v>
      </c>
    </row>
    <row r="1246">
      <c r="A1246" t="str">
        <v>STK-OPSS-UA</v>
      </c>
      <c r="B1246" t="str">
        <v/>
      </c>
      <c r="C1246">
        <v>0</v>
      </c>
      <c r="D1246" t="str">
        <v>[]</v>
      </c>
    </row>
    <row r="1247">
      <c r="A1247" t="str">
        <v>STK-OMGC-L100</v>
      </c>
      <c r="B1247" t="str">
        <v/>
      </c>
      <c r="C1247">
        <v>0</v>
      </c>
      <c r="D1247" t="str">
        <v>[]</v>
      </c>
    </row>
    <row r="1248">
      <c r="A1248" t="str">
        <v>STK-4XBQ-L100</v>
      </c>
      <c r="B1248" t="str">
        <v/>
      </c>
      <c r="C1248">
        <v>0</v>
      </c>
      <c r="D1248" t="str">
        <v>[]</v>
      </c>
    </row>
    <row r="1249">
      <c r="A1249" t="str">
        <v>STK-4XCH-L100</v>
      </c>
      <c r="B1249" t="str">
        <v/>
      </c>
      <c r="C1249">
        <v>0</v>
      </c>
      <c r="D1249" t="str">
        <v>[]</v>
      </c>
    </row>
    <row r="1250">
      <c r="A1250" t="str">
        <v>STK-MIGCH-L100</v>
      </c>
      <c r="B1250" t="str">
        <v/>
      </c>
      <c r="C1250">
        <v>0</v>
      </c>
      <c r="D1250" t="str">
        <v>[]</v>
      </c>
    </row>
    <row r="1251">
      <c r="A1251" t="str">
        <v>STK-MIGSWC-L100</v>
      </c>
      <c r="B1251" t="str">
        <v/>
      </c>
      <c r="C1251">
        <v>0</v>
      </c>
      <c r="D1251" t="str">
        <v>[]</v>
      </c>
    </row>
    <row r="1252">
      <c r="A1252" t="str">
        <v>STK-CRPCH-L100</v>
      </c>
      <c r="B1252" t="str">
        <v/>
      </c>
      <c r="C1252">
        <v>0</v>
      </c>
      <c r="D1252" t="str">
        <v>[]</v>
      </c>
    </row>
    <row r="1253">
      <c r="A1253" t="str">
        <v>STK-ACP-230G</v>
      </c>
      <c r="B1253" t="str">
        <v/>
      </c>
      <c r="C1253">
        <v>0</v>
      </c>
      <c r="D1253" t="str">
        <v>[]</v>
      </c>
    </row>
    <row r="1254">
      <c r="A1254" t="str">
        <v>STK-CMP-165G</v>
      </c>
      <c r="B1254" t="str">
        <v/>
      </c>
      <c r="C1254">
        <v>0</v>
      </c>
      <c r="D1254" t="str">
        <v>[]</v>
      </c>
    </row>
    <row r="1255">
      <c r="A1255" t="str">
        <v>STK-CTP-170G</v>
      </c>
      <c r="B1255" t="str">
        <v/>
      </c>
      <c r="C1255">
        <v>0</v>
      </c>
      <c r="D1255" t="str">
        <v>[]</v>
      </c>
    </row>
    <row r="1256">
      <c r="A1256" t="str">
        <v>STK-MCP-110G</v>
      </c>
      <c r="B1256" t="str">
        <v/>
      </c>
      <c r="C1256">
        <v>0</v>
      </c>
      <c r="D1256" t="str">
        <v>[]</v>
      </c>
    </row>
    <row r="1257">
      <c r="A1257" t="str">
        <v>STK-BCP-170G</v>
      </c>
      <c r="B1257" t="str">
        <v/>
      </c>
      <c r="C1257">
        <v>0</v>
      </c>
      <c r="D1257" t="str">
        <v>[]</v>
      </c>
    </row>
    <row r="1258">
      <c r="A1258" t="str">
        <v>STK-MCP-170G</v>
      </c>
      <c r="B1258" t="str">
        <v/>
      </c>
      <c r="C1258">
        <v>0</v>
      </c>
      <c r="D1258" t="str">
        <v>[]</v>
      </c>
    </row>
    <row r="1259">
      <c r="A1259" t="str">
        <v>STK-CTN-MM</v>
      </c>
      <c r="B1259" t="str">
        <v/>
      </c>
      <c r="C1259">
        <v>0</v>
      </c>
      <c r="D1259" t="str">
        <v>[]</v>
      </c>
    </row>
    <row r="1260">
      <c r="A1260" t="str">
        <v>STK-SCP-175G</v>
      </c>
      <c r="B1260" t="str">
        <v/>
      </c>
      <c r="C1260">
        <v>0</v>
      </c>
      <c r="D1260" t="str">
        <v>[]</v>
      </c>
    </row>
    <row r="1261">
      <c r="A1261" t="str">
        <v>STK-TFP-170G</v>
      </c>
      <c r="B1261" t="str">
        <v/>
      </c>
      <c r="C1261">
        <v>0</v>
      </c>
      <c r="D1261" t="str">
        <v>[]</v>
      </c>
    </row>
    <row r="1262">
      <c r="A1262" t="str">
        <v>OVAL STICKER</v>
      </c>
      <c r="B1262" t="str">
        <v/>
      </c>
      <c r="C1262">
        <v>0</v>
      </c>
      <c r="D1262" t="str">
        <v>[]</v>
      </c>
    </row>
    <row r="1263">
      <c r="A1263" t="str">
        <v>STK-OPC-XS-HTW-OV</v>
      </c>
      <c r="B1263" t="str">
        <v/>
      </c>
      <c r="C1263">
        <v>0</v>
      </c>
      <c r="D1263" t="str">
        <v>[]</v>
      </c>
    </row>
    <row r="1264">
      <c r="A1264" t="str">
        <v>STK-O-BGMXS-HTW</v>
      </c>
      <c r="B1264" t="str">
        <v/>
      </c>
      <c r="C1264">
        <v>0</v>
      </c>
      <c r="D1264" t="str">
        <v>[]</v>
      </c>
    </row>
    <row r="1265">
      <c r="A1265" t="str">
        <v>STK-O-OORXS-HTW</v>
      </c>
      <c r="B1265" t="str">
        <v/>
      </c>
      <c r="C1265">
        <v>0</v>
      </c>
      <c r="D1265" t="str">
        <v>[]</v>
      </c>
    </row>
    <row r="1266">
      <c r="A1266" t="str">
        <v>STK-O-PFXS-HTW</v>
      </c>
      <c r="B1266" t="str">
        <v/>
      </c>
      <c r="C1266">
        <v>0</v>
      </c>
      <c r="D1266" t="str">
        <v>[]</v>
      </c>
    </row>
    <row r="1267">
      <c r="A1267" t="str">
        <v>STK-O-KYFXS-HTW</v>
      </c>
      <c r="B1267" t="str">
        <v/>
      </c>
      <c r="C1267">
        <v>0</v>
      </c>
      <c r="D1267" t="str">
        <v>[]</v>
      </c>
    </row>
    <row r="1268">
      <c r="A1268" t="str">
        <v>STK-O-CRPXS-HTW</v>
      </c>
      <c r="B1268" t="str">
        <v/>
      </c>
      <c r="C1268">
        <v>0</v>
      </c>
      <c r="D1268" t="str">
        <v>[]</v>
      </c>
    </row>
    <row r="1269">
      <c r="A1269" t="str">
        <v>STK-O-OFCXS-HTW</v>
      </c>
      <c r="B1269" t="str">
        <v/>
      </c>
      <c r="C1269">
        <v>0</v>
      </c>
      <c r="D1269" t="str">
        <v>[]</v>
      </c>
    </row>
    <row r="1270">
      <c r="A1270" t="str">
        <v>STK-O-GCHCXB-HTW</v>
      </c>
      <c r="B1270" t="str">
        <v/>
      </c>
      <c r="C1270">
        <v>0</v>
      </c>
      <c r="D1270" t="str">
        <v>[]</v>
      </c>
    </row>
    <row r="1271">
      <c r="A1271" t="str">
        <v>STK-O-WFU</v>
      </c>
      <c r="B1271" t="str">
        <v/>
      </c>
      <c r="C1271">
        <v>0</v>
      </c>
      <c r="D1271" t="str">
        <v>[]</v>
      </c>
    </row>
    <row r="1272">
      <c r="A1272" t="str">
        <v>STK-DIS-CEP</v>
      </c>
      <c r="B1272" t="str">
        <v/>
      </c>
      <c r="C1272">
        <v>0</v>
      </c>
      <c r="D1272" t="str">
        <v>[]</v>
      </c>
    </row>
    <row r="1273">
      <c r="A1273" t="str">
        <v>STK-ING-KYFXS-TAI</v>
      </c>
      <c r="B1273" t="str">
        <v/>
      </c>
      <c r="C1273">
        <v>0</v>
      </c>
      <c r="D1273" t="str">
        <v>[]</v>
      </c>
    </row>
    <row r="1274">
      <c r="A1274" t="str">
        <v>STK-ING-OORXS-TAI</v>
      </c>
      <c r="B1274" t="str">
        <v/>
      </c>
      <c r="C1274">
        <v>0</v>
      </c>
      <c r="D1274" t="str">
        <v>[]</v>
      </c>
    </row>
    <row r="1275">
      <c r="A1275" t="str">
        <v>STK-ING-PFXS-TAI</v>
      </c>
      <c r="B1275" t="str">
        <v/>
      </c>
      <c r="C1275">
        <v>0</v>
      </c>
      <c r="D1275" t="str">
        <v>[]</v>
      </c>
    </row>
    <row r="1276">
      <c r="A1276" t="str">
        <v>STK-ING-BGMXS-TAI</v>
      </c>
      <c r="B1276" t="str">
        <v/>
      </c>
      <c r="C1276">
        <v>0</v>
      </c>
      <c r="D1276" t="str">
        <v>[]</v>
      </c>
    </row>
    <row r="1277">
      <c r="A1277" t="str">
        <v>STK-NF-BPNBTDG-TAI</v>
      </c>
      <c r="B1277" t="str">
        <v/>
      </c>
      <c r="C1277">
        <v>0</v>
      </c>
      <c r="D1277" t="str">
        <v>[]</v>
      </c>
    </row>
    <row r="1278">
      <c r="A1278" t="str">
        <v>STK-NF-BPNCODG-TAI</v>
      </c>
      <c r="B1278" t="str">
        <v/>
      </c>
      <c r="C1278">
        <v>0</v>
      </c>
      <c r="D1278" t="str">
        <v>[]</v>
      </c>
    </row>
    <row r="1279">
      <c r="A1279" t="str">
        <v>STK-NF-BPNTGDG-TAI</v>
      </c>
      <c r="B1279" t="str">
        <v/>
      </c>
      <c r="C1279">
        <v>0</v>
      </c>
      <c r="D1279" t="str">
        <v>[]</v>
      </c>
    </row>
    <row r="1280">
      <c r="A1280" t="str">
        <v>STK-NF-OPCF-TAI</v>
      </c>
      <c r="B1280" t="str">
        <v/>
      </c>
      <c r="C1280">
        <v>0</v>
      </c>
      <c r="D1280" t="str">
        <v>[]</v>
      </c>
    </row>
    <row r="1281">
      <c r="A1281" t="str">
        <v>STK-4XBQUA-TAI</v>
      </c>
      <c r="B1281" t="str">
        <v/>
      </c>
      <c r="C1281">
        <v>0</v>
      </c>
      <c r="D1281" t="str">
        <v>[]</v>
      </c>
    </row>
    <row r="1282">
      <c r="A1282" t="str">
        <v>STK-4XCHUA-TAI</v>
      </c>
      <c r="B1282" t="str">
        <v/>
      </c>
      <c r="C1282">
        <v>0</v>
      </c>
      <c r="D1282" t="str">
        <v>[]</v>
      </c>
    </row>
    <row r="1283">
      <c r="A1283" t="str">
        <v>STK-MIGCHUA-TAI</v>
      </c>
      <c r="B1283" t="str">
        <v/>
      </c>
      <c r="C1283">
        <v>0</v>
      </c>
      <c r="D1283" t="str">
        <v>[]</v>
      </c>
    </row>
    <row r="1284">
      <c r="A1284" t="str">
        <v>STK-MIGSWCUA-TAI</v>
      </c>
      <c r="B1284" t="str">
        <v/>
      </c>
      <c r="C1284">
        <v>0</v>
      </c>
      <c r="D1284" t="str">
        <v>[]</v>
      </c>
    </row>
    <row r="1285">
      <c r="A1285" t="str">
        <v>STK-OPSSUA-TAI</v>
      </c>
      <c r="B1285" t="str">
        <v/>
      </c>
      <c r="C1285">
        <v>0</v>
      </c>
      <c r="D1285" t="str">
        <v>[]</v>
      </c>
    </row>
    <row r="1286">
      <c r="A1286" t="str">
        <v>STK-PFCUA-TAI</v>
      </c>
      <c r="B1286" t="str">
        <v/>
      </c>
      <c r="C1286">
        <v>0</v>
      </c>
      <c r="D1286" t="str">
        <v>[]</v>
      </c>
    </row>
    <row r="1287">
      <c r="A1287" t="str">
        <v>EXPORT STICKERS</v>
      </c>
      <c r="B1287" t="str">
        <v/>
      </c>
      <c r="C1287">
        <v>0</v>
      </c>
      <c r="D1287" t="str">
        <v>[]</v>
      </c>
    </row>
    <row r="1288">
      <c r="A1288" t="str">
        <v>US STICKERS</v>
      </c>
      <c r="B1288" t="str">
        <v/>
      </c>
      <c r="C1288">
        <v>0</v>
      </c>
      <c r="D1288" t="str">
        <v>[]</v>
      </c>
    </row>
    <row r="1289">
      <c r="A1289" t="str">
        <v>STK-NF-BPNCODG-TMN</v>
      </c>
      <c r="B1289" t="str">
        <v/>
      </c>
      <c r="C1289">
        <v>0</v>
      </c>
      <c r="D1289" t="str">
        <v>[]</v>
      </c>
    </row>
    <row r="1290">
      <c r="A1290" t="str">
        <v>STK-NF-BPNCO-DG-US</v>
      </c>
      <c r="B1290" t="str">
        <v/>
      </c>
      <c r="C1290">
        <v>0</v>
      </c>
      <c r="D1290" t="str">
        <v>[]</v>
      </c>
    </row>
    <row r="1291">
      <c r="A1291" t="str">
        <v>STK-NF-BPNTG-DG-US</v>
      </c>
      <c r="B1291" t="str">
        <v/>
      </c>
      <c r="C1291">
        <v>0</v>
      </c>
      <c r="D1291" t="str">
        <v>[]</v>
      </c>
    </row>
    <row r="1292">
      <c r="A1292" t="str">
        <v>STK-NF-BPNBTDG-TMN</v>
      </c>
      <c r="B1292" t="str">
        <v/>
      </c>
      <c r="C1292">
        <v>0</v>
      </c>
      <c r="D1292" t="str">
        <v>[]</v>
      </c>
    </row>
    <row r="1293">
      <c r="A1293" t="str">
        <v>STK-NF-BPNBT-DG-US</v>
      </c>
      <c r="B1293" t="str">
        <v/>
      </c>
      <c r="C1293">
        <v>0</v>
      </c>
      <c r="D1293" t="str">
        <v>[]</v>
      </c>
    </row>
    <row r="1294">
      <c r="A1294" t="str">
        <v>STK-NF-CPLWPA-US</v>
      </c>
      <c r="B1294" t="str">
        <v/>
      </c>
      <c r="C1294">
        <v>0</v>
      </c>
      <c r="D1294" t="str">
        <v>[]</v>
      </c>
    </row>
    <row r="1295">
      <c r="A1295" t="str">
        <v>STK-NF-CRP-UA-US</v>
      </c>
      <c r="B1295" t="str">
        <v/>
      </c>
      <c r="C1295">
        <v>0</v>
      </c>
      <c r="D1295" t="str">
        <v>[]</v>
      </c>
    </row>
    <row r="1296">
      <c r="A1296" t="str">
        <v>STK-NF-CRPUA-TMNZ</v>
      </c>
      <c r="B1296" t="str">
        <v/>
      </c>
      <c r="C1296">
        <v>0</v>
      </c>
      <c r="D1296" t="str">
        <v>[]</v>
      </c>
    </row>
    <row r="1297">
      <c r="A1297" t="str">
        <v>STK-DTED-BIG-T</v>
      </c>
      <c r="B1297" t="str">
        <v/>
      </c>
      <c r="C1297">
        <v>0</v>
      </c>
      <c r="D1297" t="str">
        <v>[]</v>
      </c>
    </row>
    <row r="1298">
      <c r="A1298" t="str">
        <v>STK-EHOPCUA-TMNZ</v>
      </c>
      <c r="B1298" t="str">
        <v/>
      </c>
      <c r="C1298">
        <v>0</v>
      </c>
      <c r="D1298" t="str">
        <v>[]</v>
      </c>
    </row>
    <row r="1299">
      <c r="A1299" t="str">
        <v>STK-NF-EHOPCUA-US</v>
      </c>
      <c r="B1299" t="str">
        <v/>
      </c>
      <c r="C1299">
        <v>0</v>
      </c>
      <c r="D1299" t="str">
        <v>[]</v>
      </c>
    </row>
    <row r="1300">
      <c r="A1300" t="str">
        <v>STK-NF-EHOPC-F-US</v>
      </c>
      <c r="B1300" t="str">
        <v/>
      </c>
      <c r="C1300">
        <v>0</v>
      </c>
      <c r="D1300" t="str">
        <v>[]</v>
      </c>
    </row>
    <row r="1301">
      <c r="A1301" t="str">
        <v>STK-NF-KYF-F-US</v>
      </c>
      <c r="B1301" t="str">
        <v/>
      </c>
      <c r="C1301">
        <v>0</v>
      </c>
      <c r="D1301" t="str">
        <v>[]</v>
      </c>
    </row>
    <row r="1302">
      <c r="A1302" t="str">
        <v>STK-NF-KYF-UA-US</v>
      </c>
      <c r="B1302" t="str">
        <v/>
      </c>
      <c r="C1302">
        <v>0</v>
      </c>
      <c r="D1302" t="str">
        <v>[]</v>
      </c>
    </row>
    <row r="1303">
      <c r="A1303" t="str">
        <v>STK-NF-MBS-UA-US</v>
      </c>
      <c r="B1303" t="str">
        <v/>
      </c>
      <c r="C1303">
        <v>0</v>
      </c>
      <c r="D1303" t="str">
        <v>[]</v>
      </c>
    </row>
    <row r="1304">
      <c r="A1304" t="str">
        <v>STK-NF-MCCI-UA-US</v>
      </c>
      <c r="B1304" t="str">
        <v/>
      </c>
      <c r="C1304">
        <v>0</v>
      </c>
      <c r="D1304" t="str">
        <v>[]</v>
      </c>
    </row>
    <row r="1305">
      <c r="A1305" t="str">
        <v>STK-NF-MCPS-UA-US</v>
      </c>
      <c r="B1305" t="str">
        <v/>
      </c>
      <c r="C1305">
        <v>0</v>
      </c>
      <c r="D1305" t="str">
        <v>[]</v>
      </c>
    </row>
    <row r="1306">
      <c r="A1306" t="str">
        <v>STK-NF-MCSF-UA-US</v>
      </c>
      <c r="B1306" t="str">
        <v/>
      </c>
      <c r="C1306">
        <v>0</v>
      </c>
      <c r="D1306" t="str">
        <v>[]</v>
      </c>
    </row>
    <row r="1307">
      <c r="A1307" t="str">
        <v>STK-NF-MCSV-UA-US</v>
      </c>
      <c r="B1307" t="str">
        <v/>
      </c>
      <c r="C1307">
        <v>0</v>
      </c>
      <c r="D1307" t="str">
        <v>[]</v>
      </c>
    </row>
    <row r="1308">
      <c r="A1308" t="str">
        <v>STK-NF-MCSVUA-TMNZ</v>
      </c>
      <c r="B1308" t="str">
        <v/>
      </c>
      <c r="C1308">
        <v>0</v>
      </c>
      <c r="D1308" t="str">
        <v>[]</v>
      </c>
    </row>
    <row r="1309">
      <c r="A1309" t="str">
        <v>STK-NF-MIGCHUA-US</v>
      </c>
      <c r="B1309" t="str">
        <v/>
      </c>
      <c r="C1309">
        <v>0</v>
      </c>
      <c r="D1309" t="str">
        <v>[]</v>
      </c>
    </row>
    <row r="1310">
      <c r="A1310" t="str">
        <v>STK-NF-MIGSWCUA-US</v>
      </c>
      <c r="B1310" t="str">
        <v/>
      </c>
      <c r="C1310">
        <v>0</v>
      </c>
      <c r="D1310" t="str">
        <v>[]</v>
      </c>
    </row>
    <row r="1311">
      <c r="A1311" t="str">
        <v>STK-NF-NPRBQ-PFLUS</v>
      </c>
      <c r="B1311" t="str">
        <v/>
      </c>
      <c r="C1311">
        <v>0</v>
      </c>
      <c r="D1311" t="str">
        <v>[]</v>
      </c>
    </row>
    <row r="1312">
      <c r="A1312" t="str">
        <v>STK-NF-NPROG-PFLUS</v>
      </c>
      <c r="B1312" t="str">
        <v/>
      </c>
      <c r="C1312">
        <v>0</v>
      </c>
      <c r="D1312" t="str">
        <v>[]</v>
      </c>
    </row>
    <row r="1313">
      <c r="A1313" t="str">
        <v>STK-NF-OFC-UA-US</v>
      </c>
      <c r="B1313" t="str">
        <v/>
      </c>
      <c r="C1313">
        <v>0</v>
      </c>
      <c r="D1313" t="str">
        <v>[]</v>
      </c>
    </row>
    <row r="1314">
      <c r="A1314" t="str">
        <v>STK-NF-OFK-BA-US</v>
      </c>
      <c r="B1314" t="str">
        <v/>
      </c>
      <c r="C1314">
        <v>0</v>
      </c>
      <c r="D1314" t="str">
        <v>[]</v>
      </c>
    </row>
    <row r="1315">
      <c r="A1315" t="str">
        <v>STK-NF-OFKBA-TMNZ</v>
      </c>
      <c r="B1315" t="str">
        <v/>
      </c>
      <c r="C1315">
        <v>0</v>
      </c>
      <c r="D1315" t="str">
        <v>[]</v>
      </c>
    </row>
    <row r="1316">
      <c r="A1316" t="str">
        <v>STK-NF-OPSSUA-US</v>
      </c>
      <c r="B1316" t="str">
        <v/>
      </c>
      <c r="C1316">
        <v>0</v>
      </c>
      <c r="D1316" t="str">
        <v>[]</v>
      </c>
    </row>
    <row r="1317">
      <c r="A1317" t="str">
        <v>STK-NF-OPC-UA-US</v>
      </c>
      <c r="B1317" t="str">
        <v/>
      </c>
      <c r="C1317">
        <v>0</v>
      </c>
      <c r="D1317" t="str">
        <v>[]</v>
      </c>
    </row>
    <row r="1318">
      <c r="A1318" t="str">
        <v>STK-NF-OPCUA-TMNZ</v>
      </c>
      <c r="B1318" t="str">
        <v/>
      </c>
      <c r="C1318">
        <v>0</v>
      </c>
      <c r="D1318" t="str">
        <v>[]</v>
      </c>
    </row>
    <row r="1319">
      <c r="A1319" t="str">
        <v>STK-NF-OSHKBH-US</v>
      </c>
      <c r="B1319" t="str">
        <v/>
      </c>
      <c r="C1319">
        <v>0</v>
      </c>
      <c r="D1319" t="str">
        <v>[]</v>
      </c>
    </row>
    <row r="1320">
      <c r="A1320" t="str">
        <v>STK-NF-PFBM-US</v>
      </c>
      <c r="B1320" t="str">
        <v/>
      </c>
      <c r="C1320">
        <v>0</v>
      </c>
      <c r="D1320" t="str">
        <v>[]</v>
      </c>
    </row>
    <row r="1321">
      <c r="A1321" t="str">
        <v>STK-NF-PFBQBM-US</v>
      </c>
      <c r="B1321" t="str">
        <v/>
      </c>
      <c r="C1321">
        <v>0</v>
      </c>
      <c r="D1321" t="str">
        <v>[]</v>
      </c>
    </row>
    <row r="1322">
      <c r="A1322" t="str">
        <v>STK-NF-PFCBM-US</v>
      </c>
      <c r="B1322" t="str">
        <v/>
      </c>
      <c r="C1322">
        <v>0</v>
      </c>
      <c r="D1322" t="str">
        <v>[]</v>
      </c>
    </row>
    <row r="1323">
      <c r="A1323" t="str">
        <v>STK-NF-PFKBM-US</v>
      </c>
      <c r="B1323" t="str">
        <v/>
      </c>
      <c r="C1323">
        <v>0</v>
      </c>
      <c r="D1323" t="str">
        <v>[]</v>
      </c>
    </row>
    <row r="1324">
      <c r="A1324" t="str">
        <v>STK-NF-RCSUA-TMNZ</v>
      </c>
      <c r="B1324" t="str">
        <v/>
      </c>
      <c r="C1324">
        <v>0</v>
      </c>
      <c r="D1324" t="str">
        <v>[]</v>
      </c>
    </row>
    <row r="1325">
      <c r="A1325" t="str">
        <v>STK-NF-RCSUA-US</v>
      </c>
      <c r="B1325" t="str">
        <v/>
      </c>
      <c r="C1325">
        <v>0</v>
      </c>
      <c r="D1325" t="str">
        <v>[]</v>
      </c>
    </row>
    <row r="1326">
      <c r="A1326" t="str">
        <v>STK-NF-SOPC-F</v>
      </c>
      <c r="B1326" t="str">
        <v/>
      </c>
      <c r="C1326">
        <v>0</v>
      </c>
      <c r="D1326" t="str">
        <v>[]</v>
      </c>
    </row>
    <row r="1327">
      <c r="A1327" t="str">
        <v>STK-NF-SOPC-F-US</v>
      </c>
      <c r="B1327" t="str">
        <v/>
      </c>
      <c r="C1327">
        <v>0</v>
      </c>
      <c r="D1327" t="str">
        <v>[]</v>
      </c>
    </row>
    <row r="1328">
      <c r="A1328" t="str">
        <v>STK-NF-SOPC-UA-US</v>
      </c>
      <c r="B1328" t="str">
        <v/>
      </c>
      <c r="C1328">
        <v>0</v>
      </c>
      <c r="D1328" t="str">
        <v>[]</v>
      </c>
    </row>
    <row r="1329">
      <c r="A1329" t="str">
        <v>STK-NF-SOPCUA-TMNZ</v>
      </c>
      <c r="B1329" t="str">
        <v/>
      </c>
      <c r="C1329">
        <v>0</v>
      </c>
      <c r="D1329" t="str">
        <v>[]</v>
      </c>
    </row>
    <row r="1330">
      <c r="A1330" t="str">
        <v>STK-NF-SPNGC-PA-US</v>
      </c>
      <c r="B1330" t="str">
        <v/>
      </c>
      <c r="C1330">
        <v>0</v>
      </c>
      <c r="D1330" t="str">
        <v>[]</v>
      </c>
    </row>
    <row r="1331">
      <c r="A1331" t="str">
        <v>STK-NF-UPLW-LS-US</v>
      </c>
      <c r="B1331" t="str">
        <v/>
      </c>
      <c r="C1331">
        <v>0</v>
      </c>
      <c r="D1331" t="str">
        <v>[]</v>
      </c>
    </row>
    <row r="1332">
      <c r="A1332" t="str">
        <v>STK-NF-WAFCCC-US</v>
      </c>
      <c r="B1332" t="str">
        <v/>
      </c>
      <c r="C1332">
        <v>0</v>
      </c>
      <c r="D1332" t="str">
        <v>[]</v>
      </c>
    </row>
    <row r="1333">
      <c r="A1333" t="str">
        <v>STK-NF-WAFCHOC-US</v>
      </c>
      <c r="B1333" t="str">
        <v/>
      </c>
      <c r="C1333">
        <v>0</v>
      </c>
      <c r="D1333" t="str">
        <v>[]</v>
      </c>
    </row>
    <row r="1334">
      <c r="A1334" t="str">
        <v>STK-NF-WFCCLBL-US</v>
      </c>
      <c r="B1334" t="str">
        <v/>
      </c>
      <c r="C1334">
        <v>0</v>
      </c>
      <c r="D1334" t="str">
        <v>[]</v>
      </c>
    </row>
    <row r="1335">
      <c r="A1335" t="str">
        <v>STK-NF-WCHOLBL-US</v>
      </c>
      <c r="B1335" t="str">
        <v/>
      </c>
      <c r="C1335">
        <v>0</v>
      </c>
      <c r="D1335" t="str">
        <v>[]</v>
      </c>
    </row>
    <row r="1336">
      <c r="A1336" t="str">
        <v>STK-NF-WFLFNLBL-US</v>
      </c>
      <c r="B1336" t="str">
        <v/>
      </c>
      <c r="C1336">
        <v>0</v>
      </c>
      <c r="D1336" t="str">
        <v>[]</v>
      </c>
    </row>
    <row r="1337">
      <c r="A1337" t="str">
        <v>STK-WAFCCC-ING</v>
      </c>
      <c r="B1337" t="str">
        <v/>
      </c>
      <c r="C1337">
        <v>0</v>
      </c>
      <c r="D1337" t="str">
        <v>[]</v>
      </c>
    </row>
    <row r="1338">
      <c r="A1338" t="str">
        <v>STK-WAFCHOC-ING</v>
      </c>
      <c r="B1338" t="str">
        <v/>
      </c>
      <c r="C1338">
        <v>0</v>
      </c>
      <c r="D1338" t="str">
        <v>[]</v>
      </c>
    </row>
    <row r="1339">
      <c r="A1339" t="str">
        <v>STK-WAFLFN-ING</v>
      </c>
      <c r="B1339" t="str">
        <v/>
      </c>
      <c r="C1339">
        <v>0</v>
      </c>
      <c r="D1339" t="str">
        <v>[]</v>
      </c>
    </row>
    <row r="1340">
      <c r="A1340" t="str">
        <v>STK-CBIRD-COL</v>
      </c>
      <c r="B1340" t="str">
        <v/>
      </c>
      <c r="C1340">
        <v>0</v>
      </c>
      <c r="D1340" t="str">
        <v>[]</v>
      </c>
    </row>
    <row r="1341">
      <c r="A1341" t="str">
        <v>STK-STRIP-COL</v>
      </c>
      <c r="B1341" t="str">
        <v/>
      </c>
      <c r="C1341">
        <v>0</v>
      </c>
      <c r="D1341" t="str">
        <v>[]</v>
      </c>
    </row>
    <row r="1342">
      <c r="A1342" t="str">
        <v>STK-T-BRD-C</v>
      </c>
      <c r="B1342" t="str">
        <v/>
      </c>
      <c r="C1342">
        <v>0</v>
      </c>
      <c r="D1342" t="str">
        <v>[]</v>
      </c>
    </row>
    <row r="1343">
      <c r="A1343" t="str">
        <v>TAIWAN STICKERS</v>
      </c>
      <c r="B1343" t="str">
        <v/>
      </c>
      <c r="C1343">
        <v>0</v>
      </c>
      <c r="D1343" t="str">
        <v>[]</v>
      </c>
    </row>
    <row r="1344">
      <c r="A1344" t="str">
        <v>STK-NF-BPNCO-MF-TA</v>
      </c>
      <c r="B1344" t="str">
        <v/>
      </c>
      <c r="C1344">
        <v>0</v>
      </c>
      <c r="D1344" t="str">
        <v>[]</v>
      </c>
    </row>
    <row r="1345">
      <c r="A1345" t="str">
        <v>STK-NF-BPNBT-MF-TA</v>
      </c>
      <c r="B1345" t="str">
        <v/>
      </c>
      <c r="C1345">
        <v>0</v>
      </c>
      <c r="D1345" t="str">
        <v>[]</v>
      </c>
    </row>
    <row r="1346">
      <c r="A1346" t="str">
        <v>STK-NF-BPNTG-MF-TA</v>
      </c>
      <c r="B1346" t="str">
        <v/>
      </c>
      <c r="C1346">
        <v>0</v>
      </c>
      <c r="D1346" t="str">
        <v>[]</v>
      </c>
    </row>
    <row r="1347">
      <c r="A1347" t="str">
        <v>STK-NF-BGM-XS-TAI</v>
      </c>
      <c r="B1347" t="str">
        <v/>
      </c>
      <c r="C1347">
        <v>0</v>
      </c>
      <c r="D1347" t="str">
        <v>[]</v>
      </c>
    </row>
    <row r="1348">
      <c r="A1348" t="str">
        <v>STK-NF-CRPXS-TAI</v>
      </c>
      <c r="B1348" t="str">
        <v/>
      </c>
      <c r="C1348">
        <v>0</v>
      </c>
      <c r="D1348" t="str">
        <v>[]</v>
      </c>
    </row>
    <row r="1349">
      <c r="A1349" t="str">
        <v>STK-CPLW-PA-TAI</v>
      </c>
      <c r="B1349" t="str">
        <v/>
      </c>
      <c r="C1349">
        <v>0</v>
      </c>
      <c r="D1349" t="str">
        <v>[]</v>
      </c>
    </row>
    <row r="1350">
      <c r="A1350" t="str">
        <v>STK-SPNGC-PA-TAI</v>
      </c>
      <c r="B1350" t="str">
        <v/>
      </c>
      <c r="C1350">
        <v>0</v>
      </c>
      <c r="D1350" t="str">
        <v>[]</v>
      </c>
    </row>
    <row r="1351">
      <c r="A1351" t="str">
        <v>STK-NF-NPCGWNBATAI</v>
      </c>
      <c r="B1351" t="str">
        <v/>
      </c>
      <c r="C1351">
        <v>0</v>
      </c>
      <c r="D1351" t="str">
        <v>[]</v>
      </c>
    </row>
    <row r="1352">
      <c r="A1352" t="str">
        <v>STK-NFNPCGKIMBATAI</v>
      </c>
      <c r="B1352" t="str">
        <v/>
      </c>
      <c r="C1352">
        <v>0</v>
      </c>
      <c r="D1352" t="str">
        <v>[]</v>
      </c>
    </row>
    <row r="1353">
      <c r="A1353" t="str">
        <v>STK-NFNPCGSSTBATAI</v>
      </c>
      <c r="B1353" t="str">
        <v/>
      </c>
      <c r="C1353">
        <v>0</v>
      </c>
      <c r="D1353" t="str">
        <v>[]</v>
      </c>
    </row>
    <row r="1354">
      <c r="A1354" t="str">
        <v>STK-NF-OPCSE-PS</v>
      </c>
      <c r="B1354" t="str">
        <v/>
      </c>
      <c r="C1354">
        <v>0</v>
      </c>
      <c r="D1354" t="str">
        <v>[]</v>
      </c>
    </row>
    <row r="1355">
      <c r="A1355" t="str">
        <v>STK-OS31PC-TAI</v>
      </c>
      <c r="B1355" t="str">
        <v/>
      </c>
      <c r="C1355">
        <v>0</v>
      </c>
      <c r="D1355" t="str">
        <v>[]</v>
      </c>
    </row>
    <row r="1356">
      <c r="A1356" t="str">
        <v>DUBAI STICKERS</v>
      </c>
      <c r="B1356" t="str">
        <v/>
      </c>
      <c r="C1356">
        <v>0</v>
      </c>
      <c r="D1356" t="str">
        <v>[]</v>
      </c>
    </row>
    <row r="1357">
      <c r="A1357" t="str">
        <v>STK-CPLWLS-38G-DU</v>
      </c>
      <c r="B1357" t="str">
        <v/>
      </c>
      <c r="C1357">
        <v>0</v>
      </c>
      <c r="D1357" t="str">
        <v>[]</v>
      </c>
    </row>
    <row r="1358">
      <c r="A1358" t="str">
        <v>STK-BPNTGDG-42G-DU</v>
      </c>
      <c r="B1358" t="str">
        <v/>
      </c>
      <c r="C1358">
        <v>0</v>
      </c>
      <c r="D1358" t="str">
        <v>[]</v>
      </c>
    </row>
    <row r="1359">
      <c r="A1359" t="str">
        <v>STK-ID-OPC-UAE</v>
      </c>
      <c r="B1359" t="str">
        <v/>
      </c>
      <c r="C1359">
        <v>0</v>
      </c>
      <c r="D1359" t="str">
        <v>[]</v>
      </c>
    </row>
    <row r="1360">
      <c r="A1360" t="str">
        <v>STK-ID-MCSVUA-UAE</v>
      </c>
      <c r="B1360" t="str">
        <v/>
      </c>
      <c r="C1360">
        <v>0</v>
      </c>
      <c r="D1360" t="str">
        <v>[]</v>
      </c>
    </row>
    <row r="1361">
      <c r="A1361" t="str">
        <v>STK-ID-MBSUA-UAE</v>
      </c>
      <c r="B1361" t="str">
        <v/>
      </c>
      <c r="C1361">
        <v>0</v>
      </c>
      <c r="D1361" t="str">
        <v>[]</v>
      </c>
    </row>
    <row r="1362">
      <c r="A1362" t="str">
        <v>STK-ID-MCSFUA-UAE</v>
      </c>
      <c r="B1362" t="str">
        <v/>
      </c>
      <c r="C1362">
        <v>0</v>
      </c>
      <c r="D1362" t="str">
        <v>[]</v>
      </c>
    </row>
    <row r="1363">
      <c r="A1363" t="str">
        <v>STK-ID-CPLWPA-UAE</v>
      </c>
      <c r="B1363" t="str">
        <v/>
      </c>
      <c r="C1363">
        <v>0</v>
      </c>
      <c r="D1363" t="str">
        <v>[]</v>
      </c>
    </row>
    <row r="1364">
      <c r="A1364" t="str">
        <v>STK-ID-RCSUA-UAE</v>
      </c>
      <c r="B1364" t="str">
        <v/>
      </c>
      <c r="C1364">
        <v>0</v>
      </c>
      <c r="D1364" t="str">
        <v>[]</v>
      </c>
    </row>
    <row r="1365">
      <c r="A1365" t="str">
        <v>STK-ID-SPNGCPA-UAE</v>
      </c>
      <c r="B1365" t="str">
        <v/>
      </c>
      <c r="C1365">
        <v>0</v>
      </c>
      <c r="D1365" t="str">
        <v>[]</v>
      </c>
    </row>
    <row r="1366">
      <c r="A1366" t="str">
        <v>STK-ID-WAFCCC-UAE</v>
      </c>
      <c r="B1366" t="str">
        <v/>
      </c>
      <c r="C1366">
        <v>0</v>
      </c>
      <c r="D1366" t="str">
        <v>[]</v>
      </c>
    </row>
    <row r="1367">
      <c r="A1367" t="str">
        <v>STK-ID-WAFCHOC-UAE</v>
      </c>
      <c r="B1367" t="str">
        <v/>
      </c>
      <c r="C1367">
        <v>0</v>
      </c>
      <c r="D1367" t="str">
        <v>[]</v>
      </c>
    </row>
    <row r="1368">
      <c r="A1368" t="str">
        <v>STK-ID-WAFLFN-UAE</v>
      </c>
      <c r="B1368" t="str">
        <v/>
      </c>
      <c r="C1368">
        <v>0</v>
      </c>
      <c r="D1368" t="str">
        <v>[]</v>
      </c>
    </row>
    <row r="1369">
      <c r="A1369" t="str">
        <v>STK-KYF-F-UAE</v>
      </c>
      <c r="B1369" t="str">
        <v/>
      </c>
      <c r="C1369">
        <v>0</v>
      </c>
      <c r="D1369" t="str">
        <v>[]</v>
      </c>
    </row>
    <row r="1370">
      <c r="A1370" t="str">
        <v>STK-NF-OPCUA-UAE</v>
      </c>
      <c r="B1370" t="str">
        <v/>
      </c>
      <c r="C1370">
        <v>0</v>
      </c>
      <c r="D1370" t="str">
        <v>[]</v>
      </c>
    </row>
    <row r="1371">
      <c r="A1371" t="str">
        <v>STK-OPC-F-UAE</v>
      </c>
      <c r="B1371" t="str">
        <v/>
      </c>
      <c r="C1371">
        <v>0</v>
      </c>
      <c r="D1371" t="str">
        <v>[]</v>
      </c>
    </row>
    <row r="1372">
      <c r="A1372" t="str">
        <v>STK-PF-BM-UAE</v>
      </c>
      <c r="B1372" t="str">
        <v/>
      </c>
      <c r="C1372">
        <v>0</v>
      </c>
      <c r="D1372" t="str">
        <v>[]</v>
      </c>
    </row>
    <row r="1373">
      <c r="A1373" t="str">
        <v>STK-PFC-BM-UAE</v>
      </c>
      <c r="B1373" t="str">
        <v/>
      </c>
      <c r="C1373">
        <v>0</v>
      </c>
      <c r="D1373" t="str">
        <v>[]</v>
      </c>
    </row>
    <row r="1374">
      <c r="A1374" t="str">
        <v>STK-PFK-BM-UAE</v>
      </c>
      <c r="B1374" t="str">
        <v/>
      </c>
      <c r="C1374">
        <v>0</v>
      </c>
      <c r="D1374" t="str">
        <v>[]</v>
      </c>
    </row>
    <row r="1375">
      <c r="A1375" t="str">
        <v>STK-POPCA-F-UAE</v>
      </c>
      <c r="B1375" t="str">
        <v/>
      </c>
      <c r="C1375">
        <v>0</v>
      </c>
      <c r="D1375" t="str">
        <v>[]</v>
      </c>
    </row>
    <row r="1376">
      <c r="A1376" t="str">
        <v>STK-MCPS-UA-UAE</v>
      </c>
      <c r="B1376" t="str">
        <v/>
      </c>
      <c r="C1376">
        <v>0</v>
      </c>
      <c r="D1376" t="str">
        <v>[]</v>
      </c>
    </row>
    <row r="1377">
      <c r="A1377" t="str">
        <v>STK-NF-KYFUA-UAE</v>
      </c>
      <c r="B1377" t="str">
        <v/>
      </c>
      <c r="C1377">
        <v>0</v>
      </c>
      <c r="D1377" t="str">
        <v>[]</v>
      </c>
    </row>
    <row r="1378">
      <c r="A1378" t="str">
        <v>STK-EHOPC-F-UAE</v>
      </c>
      <c r="B1378" t="str">
        <v/>
      </c>
      <c r="C1378">
        <v>0</v>
      </c>
      <c r="D1378" t="str">
        <v>[]</v>
      </c>
    </row>
    <row r="1379">
      <c r="A1379" t="str">
        <v>STK-RCBM-UAE</v>
      </c>
      <c r="B1379" t="str">
        <v/>
      </c>
      <c r="C1379">
        <v>0</v>
      </c>
      <c r="D1379" t="str">
        <v>[]</v>
      </c>
    </row>
    <row r="1380">
      <c r="A1380" t="str">
        <v>STK-SOPC-F-UAE</v>
      </c>
      <c r="B1380" t="str">
        <v/>
      </c>
      <c r="C1380">
        <v>0</v>
      </c>
      <c r="D1380" t="str">
        <v>[]</v>
      </c>
    </row>
    <row r="1381">
      <c r="A1381" t="str">
        <v>STK-POPCHO-F-UAE</v>
      </c>
      <c r="B1381" t="str">
        <v/>
      </c>
      <c r="C1381">
        <v>0</v>
      </c>
      <c r="D1381" t="str">
        <v>[]</v>
      </c>
    </row>
    <row r="1382">
      <c r="A1382" t="str">
        <v>STK-ID-BPPHSVP-UAE</v>
      </c>
      <c r="B1382" t="str">
        <v/>
      </c>
      <c r="C1382">
        <v>0</v>
      </c>
      <c r="D1382" t="str">
        <v>[]</v>
      </c>
    </row>
    <row r="1383">
      <c r="A1383" t="str">
        <v>STK-ID-BPPVVP-UAE</v>
      </c>
      <c r="B1383" t="str">
        <v/>
      </c>
      <c r="C1383">
        <v>0</v>
      </c>
      <c r="D1383" t="str">
        <v>[]</v>
      </c>
    </row>
    <row r="1384">
      <c r="A1384" t="str">
        <v>STK-ID-PTCBQJA-UAE</v>
      </c>
      <c r="B1384" t="str">
        <v/>
      </c>
      <c r="C1384">
        <v>0</v>
      </c>
      <c r="D1384" t="str">
        <v>[]</v>
      </c>
    </row>
    <row r="1385">
      <c r="A1385" t="str">
        <v>STK-ID-PTCCHJA-UAE</v>
      </c>
      <c r="B1385" t="str">
        <v/>
      </c>
      <c r="C1385">
        <v>0</v>
      </c>
      <c r="D1385" t="str">
        <v>[]</v>
      </c>
    </row>
    <row r="1386">
      <c r="A1386" t="str">
        <v>STK-ID-PTCTAJA-UAE</v>
      </c>
      <c r="B1386" t="str">
        <v/>
      </c>
      <c r="C1386">
        <v>0</v>
      </c>
      <c r="D1386" t="str">
        <v>[]</v>
      </c>
    </row>
    <row r="1387">
      <c r="A1387" t="str">
        <v>STK-ID-CRPUA-DU</v>
      </c>
      <c r="B1387" t="str">
        <v/>
      </c>
      <c r="C1387">
        <v>0</v>
      </c>
      <c r="D1387" t="str">
        <v>[]</v>
      </c>
    </row>
    <row r="1388">
      <c r="A1388" t="str">
        <v>SINGAPORE STICKERS</v>
      </c>
      <c r="B1388" t="str">
        <v/>
      </c>
      <c r="C1388">
        <v>0</v>
      </c>
      <c r="D1388" t="str">
        <v>[]</v>
      </c>
    </row>
    <row r="1389">
      <c r="A1389" t="str">
        <v>STK-NF-BPNCO-MF-SG</v>
      </c>
      <c r="B1389" t="str">
        <v/>
      </c>
      <c r="C1389">
        <v>0</v>
      </c>
      <c r="D1389" t="str">
        <v>[]</v>
      </c>
    </row>
    <row r="1390">
      <c r="A1390" t="str">
        <v>STK-NF-PFLB-SG</v>
      </c>
      <c r="B1390" t="str">
        <v/>
      </c>
      <c r="C1390">
        <v>0</v>
      </c>
      <c r="D1390" t="str">
        <v>[]</v>
      </c>
    </row>
    <row r="1391">
      <c r="A1391" t="str">
        <v>STK-OMGBQRL-SG</v>
      </c>
      <c r="B1391" t="str">
        <v/>
      </c>
      <c r="C1391">
        <v>0</v>
      </c>
      <c r="D1391" t="str">
        <v>[]</v>
      </c>
    </row>
    <row r="1392">
      <c r="A1392" t="str">
        <v>STK-OMGCRL-SG</v>
      </c>
      <c r="B1392" t="str">
        <v/>
      </c>
      <c r="C1392">
        <v>0</v>
      </c>
      <c r="D1392" t="str">
        <v>[]</v>
      </c>
    </row>
    <row r="1393">
      <c r="A1393" t="str">
        <v>STK-OMGFORL-SG</v>
      </c>
      <c r="B1393" t="str">
        <v/>
      </c>
      <c r="C1393">
        <v>0</v>
      </c>
      <c r="D1393" t="str">
        <v>[]</v>
      </c>
    </row>
    <row r="1394">
      <c r="A1394" t="str">
        <v>STK-PFKLB-SG</v>
      </c>
      <c r="B1394" t="str">
        <v/>
      </c>
      <c r="C1394">
        <v>0</v>
      </c>
      <c r="D1394" t="str">
        <v>[]</v>
      </c>
    </row>
    <row r="1395">
      <c r="A1395" t="str">
        <v>STK-BONNY-SG-I</v>
      </c>
      <c r="B1395" t="str">
        <v/>
      </c>
      <c r="C1395">
        <v>0</v>
      </c>
      <c r="D1395" t="str">
        <v>[]</v>
      </c>
    </row>
    <row r="1396">
      <c r="A1396" t="str">
        <v>STK-NI-JPSP-BSG</v>
      </c>
      <c r="B1396" t="str">
        <v/>
      </c>
      <c r="C1396">
        <v>0</v>
      </c>
      <c r="D1396" t="str">
        <v>[]</v>
      </c>
    </row>
    <row r="1397">
      <c r="A1397" t="str">
        <v>STK-HS-HPB</v>
      </c>
      <c r="B1397" t="str">
        <v/>
      </c>
      <c r="C1397">
        <v>0</v>
      </c>
      <c r="D1397" t="str">
        <v>[]</v>
      </c>
    </row>
    <row r="1398">
      <c r="A1398" t="str">
        <v>STK-BB-OMGSWD-SG</v>
      </c>
      <c r="B1398" t="str">
        <v/>
      </c>
      <c r="C1398">
        <v>0</v>
      </c>
      <c r="D1398" t="str">
        <v>[]</v>
      </c>
    </row>
    <row r="1399">
      <c r="A1399" t="str">
        <v>STK-BS-OMGSWD-SG</v>
      </c>
      <c r="B1399" t="str">
        <v/>
      </c>
      <c r="C1399">
        <v>0</v>
      </c>
      <c r="D1399" t="str">
        <v>[]</v>
      </c>
    </row>
    <row r="1400">
      <c r="A1400" t="str">
        <v>STK-DIS-SWFSG</v>
      </c>
      <c r="B1400" t="str">
        <v/>
      </c>
      <c r="C1400">
        <v>0</v>
      </c>
      <c r="D1400" t="str">
        <v>[]</v>
      </c>
    </row>
    <row r="1401">
      <c r="A1401" t="str">
        <v>STK-DIS-MAN-SWFSG</v>
      </c>
      <c r="B1401" t="str">
        <v/>
      </c>
      <c r="C1401">
        <v>0</v>
      </c>
      <c r="D1401" t="str">
        <v>[]</v>
      </c>
    </row>
    <row r="1402">
      <c r="A1402" t="str">
        <v>STK-DIS-SCPL-SG</v>
      </c>
      <c r="B1402" t="str">
        <v/>
      </c>
      <c r="C1402">
        <v>0</v>
      </c>
      <c r="D1402" t="str">
        <v>[]</v>
      </c>
    </row>
    <row r="1403">
      <c r="A1403" t="str">
        <v>STK-BC-CPLWPA-SNG</v>
      </c>
      <c r="B1403" t="str">
        <v/>
      </c>
      <c r="C1403">
        <v>0</v>
      </c>
      <c r="D1403" t="str">
        <v>[]</v>
      </c>
    </row>
    <row r="1404">
      <c r="A1404" t="str">
        <v>STK-BC-OPCSEPS-SNG</v>
      </c>
      <c r="B1404" t="str">
        <v/>
      </c>
      <c r="C1404">
        <v>0</v>
      </c>
      <c r="D1404" t="str">
        <v>[]</v>
      </c>
    </row>
    <row r="1405">
      <c r="A1405" t="str">
        <v>ISRAEL STICKERS</v>
      </c>
      <c r="B1405" t="str">
        <v/>
      </c>
      <c r="C1405">
        <v>0</v>
      </c>
      <c r="D1405" t="str">
        <v>[]</v>
      </c>
    </row>
    <row r="1406">
      <c r="A1406" t="str">
        <v>STK-KYF-F-EWI</v>
      </c>
      <c r="B1406" t="str">
        <v/>
      </c>
      <c r="C1406">
        <v>0</v>
      </c>
      <c r="D1406" t="str">
        <v>[]</v>
      </c>
    </row>
    <row r="1407">
      <c r="A1407" t="str">
        <v>STK-MBS-UA-EWI</v>
      </c>
      <c r="B1407" t="str">
        <v/>
      </c>
      <c r="C1407">
        <v>0</v>
      </c>
      <c r="D1407" t="str">
        <v>[]</v>
      </c>
    </row>
    <row r="1408">
      <c r="A1408" t="str">
        <v>STK-OPC-60G-EWI</v>
      </c>
      <c r="B1408" t="str">
        <v/>
      </c>
      <c r="C1408">
        <v>0</v>
      </c>
      <c r="D1408" t="str">
        <v>[]</v>
      </c>
    </row>
    <row r="1409">
      <c r="A1409" t="str">
        <v>STK-RCBM-EWI</v>
      </c>
      <c r="B1409" t="str">
        <v/>
      </c>
      <c r="C1409">
        <v>0</v>
      </c>
      <c r="D1409" t="str">
        <v>[]</v>
      </c>
    </row>
    <row r="1410">
      <c r="A1410" t="str">
        <v>STK-SOPC-60G-EWI</v>
      </c>
      <c r="B1410" t="str">
        <v/>
      </c>
      <c r="C1410">
        <v>0</v>
      </c>
      <c r="D1410" t="str">
        <v>[]</v>
      </c>
    </row>
    <row r="1411">
      <c r="A1411" t="str">
        <v>STK-RD-LBLX2-EWI</v>
      </c>
      <c r="B1411" t="str">
        <v/>
      </c>
      <c r="C1411">
        <v>0</v>
      </c>
      <c r="D1411" t="str">
        <v>[]</v>
      </c>
    </row>
    <row r="1412">
      <c r="A1412" t="str">
        <v>STK-RD-LBLX3-EWI</v>
      </c>
      <c r="B1412" t="str">
        <v/>
      </c>
      <c r="C1412">
        <v>0</v>
      </c>
      <c r="D1412" t="str">
        <v>[]</v>
      </c>
    </row>
    <row r="1413">
      <c r="A1413" t="str">
        <v>AUSTRALIA STICKERS</v>
      </c>
      <c r="B1413" t="str">
        <v/>
      </c>
      <c r="C1413">
        <v>0</v>
      </c>
      <c r="D1413" t="str">
        <v>[]</v>
      </c>
    </row>
    <row r="1414">
      <c r="A1414" t="str">
        <v>STK-EHOPCUA-AUS</v>
      </c>
      <c r="B1414" t="str">
        <v/>
      </c>
      <c r="C1414">
        <v>0</v>
      </c>
      <c r="D1414" t="str">
        <v>[]</v>
      </c>
    </row>
    <row r="1415">
      <c r="A1415" t="str">
        <v>STK-MCSVF-UA-AUS</v>
      </c>
      <c r="B1415" t="str">
        <v/>
      </c>
      <c r="C1415">
        <v>0</v>
      </c>
      <c r="D1415" t="str">
        <v>[]</v>
      </c>
    </row>
    <row r="1416">
      <c r="A1416" t="str">
        <v>STK-MCCI-UA-AUS</v>
      </c>
      <c r="B1416" t="str">
        <v/>
      </c>
      <c r="C1416">
        <v>0</v>
      </c>
      <c r="D1416" t="str">
        <v>[]</v>
      </c>
    </row>
    <row r="1417">
      <c r="A1417" t="str">
        <v>STK-MCPS-UA-AUS</v>
      </c>
      <c r="B1417" t="str">
        <v/>
      </c>
      <c r="C1417">
        <v>0</v>
      </c>
      <c r="D1417" t="str">
        <v>[]</v>
      </c>
    </row>
    <row r="1418">
      <c r="A1418" t="str">
        <v>STK-NF-BPNCODG-AUS</v>
      </c>
      <c r="B1418" t="str">
        <v/>
      </c>
      <c r="C1418">
        <v>0</v>
      </c>
      <c r="D1418" t="str">
        <v>[]</v>
      </c>
    </row>
    <row r="1419">
      <c r="A1419" t="str">
        <v>STK-NF-BPNBTDG-AUS</v>
      </c>
      <c r="B1419" t="str">
        <v/>
      </c>
      <c r="C1419">
        <v>0</v>
      </c>
      <c r="D1419" t="str">
        <v>[]</v>
      </c>
    </row>
    <row r="1420">
      <c r="A1420" t="str">
        <v>STK-NF-BPNTGDG-AUS</v>
      </c>
      <c r="B1420" t="str">
        <v/>
      </c>
      <c r="C1420">
        <v>0</v>
      </c>
      <c r="D1420" t="str">
        <v>[]</v>
      </c>
    </row>
    <row r="1421">
      <c r="A1421" t="str">
        <v>STK-NF-CRP-UA-AUS</v>
      </c>
      <c r="B1421" t="str">
        <v/>
      </c>
      <c r="C1421">
        <v>0</v>
      </c>
      <c r="D1421" t="str">
        <v>[]</v>
      </c>
    </row>
    <row r="1422">
      <c r="A1422" t="str">
        <v>STK-NF-KYF-F-AUS</v>
      </c>
      <c r="B1422" t="str">
        <v/>
      </c>
      <c r="C1422">
        <v>0</v>
      </c>
      <c r="D1422" t="str">
        <v>[]</v>
      </c>
    </row>
    <row r="1423">
      <c r="A1423" t="str">
        <v>STK-NF-KYF-UA-AUS</v>
      </c>
      <c r="B1423" t="str">
        <v/>
      </c>
      <c r="C1423">
        <v>0</v>
      </c>
      <c r="D1423" t="str">
        <v>[]</v>
      </c>
    </row>
    <row r="1424">
      <c r="A1424" t="str">
        <v>STK-RC-BM-AUS</v>
      </c>
      <c r="B1424" t="str">
        <v/>
      </c>
      <c r="C1424">
        <v>0</v>
      </c>
      <c r="D1424" t="str">
        <v>[]</v>
      </c>
    </row>
    <row r="1425">
      <c r="A1425" t="str">
        <v>STK-OFKBA-AUS</v>
      </c>
      <c r="B1425" t="str">
        <v/>
      </c>
      <c r="C1425">
        <v>0</v>
      </c>
      <c r="D1425" t="str">
        <v>[]</v>
      </c>
    </row>
    <row r="1426">
      <c r="A1426" t="str">
        <v>STK-OPC-F-AUS</v>
      </c>
      <c r="B1426" t="str">
        <v/>
      </c>
      <c r="C1426">
        <v>0</v>
      </c>
      <c r="D1426" t="str">
        <v>[]</v>
      </c>
    </row>
    <row r="1427">
      <c r="A1427" t="str">
        <v>STK-OPCUA-AUS</v>
      </c>
      <c r="B1427" t="str">
        <v/>
      </c>
      <c r="C1427">
        <v>0</v>
      </c>
      <c r="D1427" t="str">
        <v>[]</v>
      </c>
    </row>
    <row r="1428">
      <c r="A1428" t="str">
        <v>STK-SOPC-F-AUS</v>
      </c>
      <c r="B1428" t="str">
        <v/>
      </c>
      <c r="C1428">
        <v>0</v>
      </c>
      <c r="D1428" t="str">
        <v>[]</v>
      </c>
    </row>
    <row r="1429">
      <c r="A1429" t="str">
        <v>STK-SOPCUA-AUS</v>
      </c>
      <c r="B1429" t="str">
        <v/>
      </c>
      <c r="C1429">
        <v>0</v>
      </c>
      <c r="D1429" t="str">
        <v>[]</v>
      </c>
    </row>
    <row r="1430">
      <c r="A1430" t="str">
        <v>STK-CPLWPA-AUS</v>
      </c>
      <c r="B1430" t="str">
        <v/>
      </c>
      <c r="C1430">
        <v>0</v>
      </c>
      <c r="D1430" t="str">
        <v>[]</v>
      </c>
    </row>
    <row r="1431">
      <c r="A1431" t="str">
        <v>STK-DIS-SBC</v>
      </c>
      <c r="B1431" t="str">
        <v/>
      </c>
      <c r="C1431">
        <v>0</v>
      </c>
      <c r="D1431" t="str">
        <v>[]</v>
      </c>
    </row>
    <row r="1432">
      <c r="A1432" t="str">
        <v>STK-DIS-MP-SBC</v>
      </c>
      <c r="B1432" t="str">
        <v/>
      </c>
      <c r="C1432">
        <v>0</v>
      </c>
      <c r="D1432" t="str">
        <v>[]</v>
      </c>
    </row>
    <row r="1433">
      <c r="A1433" t="str">
        <v>STK-DIS-PAI</v>
      </c>
      <c r="B1433" t="str">
        <v/>
      </c>
      <c r="C1433">
        <v>0</v>
      </c>
      <c r="D1433" t="str">
        <v>[]</v>
      </c>
    </row>
    <row r="1434">
      <c r="A1434" t="str">
        <v>STK-MCSV-UA-AUS</v>
      </c>
      <c r="B1434" t="str">
        <v/>
      </c>
      <c r="C1434">
        <v>0</v>
      </c>
      <c r="D1434" t="str">
        <v>[]</v>
      </c>
    </row>
    <row r="1435">
      <c r="A1435" t="str">
        <v>STK-CRP-UA-AUS</v>
      </c>
      <c r="B1435" t="str">
        <v/>
      </c>
      <c r="C1435">
        <v>0</v>
      </c>
      <c r="D1435" t="str">
        <v>[]</v>
      </c>
    </row>
    <row r="1436">
      <c r="A1436" t="str">
        <v>STK-RC-UA-AUS</v>
      </c>
      <c r="B1436" t="str">
        <v/>
      </c>
      <c r="C1436">
        <v>0</v>
      </c>
      <c r="D1436" t="str">
        <v>[]</v>
      </c>
    </row>
    <row r="1437">
      <c r="A1437" t="str">
        <v>STK-NF-BPNTG-DG</v>
      </c>
      <c r="B1437" t="str">
        <v/>
      </c>
      <c r="C1437">
        <v>0</v>
      </c>
      <c r="D1437" t="str">
        <v>[]</v>
      </c>
    </row>
    <row r="1438">
      <c r="A1438" t="str">
        <v>STK-NF-BPNBT-DG</v>
      </c>
      <c r="B1438" t="str">
        <v/>
      </c>
      <c r="C1438">
        <v>0</v>
      </c>
      <c r="D1438" t="str">
        <v>[]</v>
      </c>
    </row>
    <row r="1439">
      <c r="A1439" t="str">
        <v>STK-IMPTD-T-MA</v>
      </c>
      <c r="B1439" t="str">
        <v/>
      </c>
      <c r="C1439">
        <v>0</v>
      </c>
      <c r="D1439" t="str">
        <v>[]</v>
      </c>
    </row>
    <row r="1440">
      <c r="A1440" t="str">
        <v>STK-NF-OPCUA-AUS</v>
      </c>
      <c r="B1440" t="str">
        <v/>
      </c>
      <c r="C1440">
        <v>0</v>
      </c>
      <c r="D1440" t="str">
        <v>[]</v>
      </c>
    </row>
    <row r="1441">
      <c r="A1441" t="str">
        <v>STK-NF-OFCUA-AUS</v>
      </c>
      <c r="B1441" t="str">
        <v/>
      </c>
      <c r="C1441">
        <v>0</v>
      </c>
      <c r="D1441" t="str">
        <v>[]</v>
      </c>
    </row>
    <row r="1442">
      <c r="A1442" t="str">
        <v>STK-NF-SOPCUA-AUS</v>
      </c>
      <c r="B1442" t="str">
        <v/>
      </c>
      <c r="C1442">
        <v>0</v>
      </c>
      <c r="D1442" t="str">
        <v>[]</v>
      </c>
    </row>
    <row r="1443">
      <c r="A1443" t="str">
        <v>STK-NF-PFBM-AUS</v>
      </c>
      <c r="B1443" t="str">
        <v/>
      </c>
      <c r="C1443">
        <v>0</v>
      </c>
      <c r="D1443" t="str">
        <v>[]</v>
      </c>
    </row>
    <row r="1444">
      <c r="A1444" t="str">
        <v>STK-NF-PFCBM-AUS</v>
      </c>
      <c r="B1444" t="str">
        <v/>
      </c>
      <c r="C1444">
        <v>0</v>
      </c>
      <c r="D1444" t="str">
        <v>[]</v>
      </c>
    </row>
    <row r="1445">
      <c r="A1445" t="str">
        <v>STK-NF-PFKBM-AUS</v>
      </c>
      <c r="B1445" t="str">
        <v/>
      </c>
      <c r="C1445">
        <v>0</v>
      </c>
      <c r="D1445" t="str">
        <v>[]</v>
      </c>
    </row>
    <row r="1446">
      <c r="A1446" t="str">
        <v>STK-NF-RCUA-AUS</v>
      </c>
      <c r="B1446" t="str">
        <v/>
      </c>
      <c r="C1446">
        <v>0</v>
      </c>
      <c r="D1446" t="str">
        <v>[]</v>
      </c>
    </row>
    <row r="1447">
      <c r="A1447" t="str">
        <v>STK-NF-RCSUA-AUS</v>
      </c>
      <c r="B1447" t="str">
        <v/>
      </c>
      <c r="C1447">
        <v>0</v>
      </c>
      <c r="D1447" t="str">
        <v>[]</v>
      </c>
    </row>
    <row r="1448">
      <c r="A1448" t="str">
        <v>STK-NF-SPNGCPA-AUS</v>
      </c>
      <c r="B1448" t="str">
        <v/>
      </c>
      <c r="C1448">
        <v>0</v>
      </c>
      <c r="D1448" t="str">
        <v>[]</v>
      </c>
    </row>
    <row r="1449">
      <c r="A1449" t="str">
        <v>STK-NF-UPLWPA-AUS</v>
      </c>
      <c r="B1449" t="str">
        <v/>
      </c>
      <c r="C1449">
        <v>0</v>
      </c>
      <c r="D1449" t="str">
        <v>[]</v>
      </c>
    </row>
    <row r="1450">
      <c r="A1450" t="str">
        <v>STK-NF-NPCGSEPGAUS</v>
      </c>
      <c r="B1450" t="str">
        <v/>
      </c>
      <c r="C1450">
        <v>0</v>
      </c>
      <c r="D1450" t="str">
        <v>[]</v>
      </c>
    </row>
    <row r="1451">
      <c r="A1451" t="str">
        <v>CHINA STICKERS</v>
      </c>
      <c r="B1451" t="str">
        <v/>
      </c>
      <c r="C1451">
        <v>0</v>
      </c>
      <c r="D1451" t="str">
        <v>[]</v>
      </c>
    </row>
    <row r="1452">
      <c r="A1452" t="str">
        <v>STK-BC-BPNTGDG-CH</v>
      </c>
      <c r="B1452" t="str">
        <v/>
      </c>
      <c r="C1452">
        <v>0</v>
      </c>
      <c r="D1452" t="str">
        <v>[]</v>
      </c>
    </row>
    <row r="1453">
      <c r="A1453" t="str">
        <v>STK-NF-BPNTG-DG-CH</v>
      </c>
      <c r="B1453" t="str">
        <v/>
      </c>
      <c r="C1453">
        <v>0</v>
      </c>
      <c r="D1453" t="str">
        <v>[]</v>
      </c>
    </row>
    <row r="1454">
      <c r="A1454" t="str">
        <v>STK-CD-BPNTGDG-CH</v>
      </c>
      <c r="B1454" t="str">
        <v/>
      </c>
      <c r="C1454">
        <v>0</v>
      </c>
      <c r="D1454" t="str">
        <v>[]</v>
      </c>
    </row>
    <row r="1455">
      <c r="A1455" t="str">
        <v>STK-BC-BPNBTDG-CH</v>
      </c>
      <c r="B1455" t="str">
        <v/>
      </c>
      <c r="C1455">
        <v>0</v>
      </c>
      <c r="D1455" t="str">
        <v>[]</v>
      </c>
    </row>
    <row r="1456">
      <c r="A1456" t="str">
        <v>STK-NF-BPNBT-DG-CH</v>
      </c>
      <c r="B1456" t="str">
        <v/>
      </c>
      <c r="C1456">
        <v>0</v>
      </c>
      <c r="D1456" t="str">
        <v>[]</v>
      </c>
    </row>
    <row r="1457">
      <c r="A1457" t="str">
        <v>STK-CD-BPNBTDG-CH</v>
      </c>
      <c r="B1457" t="str">
        <v/>
      </c>
      <c r="C1457">
        <v>0</v>
      </c>
      <c r="D1457" t="str">
        <v>[]</v>
      </c>
    </row>
    <row r="1458">
      <c r="A1458" t="str">
        <v>STK-NF-NPCGSEPG-CH</v>
      </c>
      <c r="B1458" t="str">
        <v/>
      </c>
      <c r="C1458">
        <v>0</v>
      </c>
      <c r="D1458" t="str">
        <v>[]</v>
      </c>
    </row>
    <row r="1459">
      <c r="A1459" t="str">
        <v>BRUNEI STICKERS</v>
      </c>
      <c r="B1459" t="str">
        <v/>
      </c>
      <c r="C1459">
        <v>0</v>
      </c>
      <c r="D1459" t="str">
        <v>[]</v>
      </c>
    </row>
    <row r="1460">
      <c r="A1460" t="str">
        <v>STK-DIS-SSL</v>
      </c>
      <c r="B1460" t="str">
        <v/>
      </c>
      <c r="C1460">
        <v>0</v>
      </c>
      <c r="D1460" t="str">
        <v>[]</v>
      </c>
    </row>
    <row r="1461">
      <c r="A1461" t="str">
        <v>STK-DIS-SSL-SO</v>
      </c>
      <c r="B1461" t="str">
        <v/>
      </c>
      <c r="C1461">
        <v>0</v>
      </c>
      <c r="D1461" t="str">
        <v>[]</v>
      </c>
    </row>
    <row r="1462">
      <c r="A1462" t="str">
        <v>MALAYSIA STICKERS</v>
      </c>
      <c r="B1462" t="str">
        <v/>
      </c>
      <c r="C1462">
        <v>0</v>
      </c>
      <c r="D1462" t="str">
        <v>[]</v>
      </c>
    </row>
    <row r="1463">
      <c r="A1463" t="str">
        <v>STK-DIS-BWM</v>
      </c>
      <c r="B1463" t="str">
        <v/>
      </c>
      <c r="C1463">
        <v>0</v>
      </c>
      <c r="D1463" t="str">
        <v>[]</v>
      </c>
    </row>
    <row r="1464">
      <c r="A1464" t="str">
        <v>STK-DIS-BWM-S</v>
      </c>
      <c r="B1464" t="str">
        <v/>
      </c>
      <c r="C1464">
        <v>0</v>
      </c>
      <c r="D1464" t="str">
        <v>[]</v>
      </c>
    </row>
    <row r="1465">
      <c r="A1465" t="str">
        <v>STK-DIS-KGCT-MLY</v>
      </c>
      <c r="B1465" t="str">
        <v/>
      </c>
      <c r="C1465">
        <v>0</v>
      </c>
      <c r="D1465" t="str">
        <v>[]</v>
      </c>
    </row>
    <row r="1466">
      <c r="A1466" t="str">
        <v>ITALY STICKERS</v>
      </c>
      <c r="B1466" t="str">
        <v/>
      </c>
      <c r="C1466">
        <v>0</v>
      </c>
      <c r="D1466" t="str">
        <v>[]</v>
      </c>
    </row>
    <row r="1467">
      <c r="A1467" t="str">
        <v>STK-OPC60G-ITX</v>
      </c>
      <c r="B1467" t="str">
        <v/>
      </c>
      <c r="C1467">
        <v>0</v>
      </c>
      <c r="D1467" t="str">
        <v>[]</v>
      </c>
    </row>
    <row r="1468">
      <c r="A1468" t="str">
        <v>STK-POPCA60G-ITX</v>
      </c>
      <c r="B1468" t="str">
        <v/>
      </c>
      <c r="C1468">
        <v>0</v>
      </c>
      <c r="D1468" t="str">
        <v>[]</v>
      </c>
    </row>
    <row r="1469">
      <c r="A1469" t="str">
        <v>STK-SOPC-60G-ITX</v>
      </c>
      <c r="B1469" t="str">
        <v/>
      </c>
      <c r="C1469">
        <v>0</v>
      </c>
      <c r="D1469" t="str">
        <v>[]</v>
      </c>
    </row>
    <row r="1470">
      <c r="A1470" t="str">
        <v>STK-RC24G-ITX</v>
      </c>
      <c r="B1470" t="str">
        <v/>
      </c>
      <c r="C1470">
        <v>0</v>
      </c>
      <c r="D1470" t="str">
        <v>[]</v>
      </c>
    </row>
    <row r="1471">
      <c r="A1471" t="str">
        <v>STK-MCSV90G-ITX</v>
      </c>
      <c r="B1471" t="str">
        <v/>
      </c>
      <c r="C1471">
        <v>0</v>
      </c>
      <c r="D1471" t="str">
        <v>[]</v>
      </c>
    </row>
    <row r="1472">
      <c r="A1472" t="str">
        <v>STK-NF-PSNK-FB-ITY</v>
      </c>
      <c r="B1472" t="str">
        <v/>
      </c>
      <c r="C1472">
        <v>0</v>
      </c>
      <c r="D1472" t="str">
        <v>[]</v>
      </c>
    </row>
    <row r="1473">
      <c r="A1473" t="str">
        <v>CYPRUS STICKERS</v>
      </c>
      <c r="B1473" t="str">
        <v/>
      </c>
      <c r="C1473">
        <v>0</v>
      </c>
      <c r="D1473" t="str">
        <v>[]</v>
      </c>
    </row>
    <row r="1474">
      <c r="A1474" t="str">
        <v>STK-OPC-F-CYP</v>
      </c>
      <c r="B1474" t="str">
        <v/>
      </c>
      <c r="C1474">
        <v>0</v>
      </c>
      <c r="D1474" t="str">
        <v>[]</v>
      </c>
    </row>
    <row r="1475">
      <c r="A1475" t="str">
        <v>STK-OPC-UA-CYP</v>
      </c>
      <c r="B1475" t="str">
        <v/>
      </c>
      <c r="C1475">
        <v>0</v>
      </c>
      <c r="D1475" t="str">
        <v>[]</v>
      </c>
    </row>
    <row r="1476">
      <c r="A1476" t="str">
        <v>STK-RC-BM-CYP</v>
      </c>
      <c r="B1476" t="str">
        <v/>
      </c>
      <c r="C1476">
        <v>0</v>
      </c>
      <c r="D1476" t="str">
        <v>[]</v>
      </c>
    </row>
    <row r="1477">
      <c r="A1477" t="str">
        <v>STK-SOPC-F-CYP</v>
      </c>
      <c r="B1477" t="str">
        <v/>
      </c>
      <c r="C1477">
        <v>0</v>
      </c>
      <c r="D1477" t="str">
        <v>[]</v>
      </c>
    </row>
    <row r="1478">
      <c r="A1478" t="str">
        <v>STK-SOPC-UA-CYP</v>
      </c>
      <c r="B1478" t="str">
        <v/>
      </c>
      <c r="C1478">
        <v>0</v>
      </c>
      <c r="D1478" t="str">
        <v>[]</v>
      </c>
    </row>
    <row r="1479">
      <c r="A1479" t="str">
        <v>CANADA STICKERS</v>
      </c>
      <c r="B1479" t="str">
        <v/>
      </c>
      <c r="C1479">
        <v>0</v>
      </c>
      <c r="D1479" t="str">
        <v>[]</v>
      </c>
    </row>
    <row r="1480">
      <c r="A1480" t="str">
        <v>STK-DIS-APO</v>
      </c>
      <c r="B1480" t="str">
        <v/>
      </c>
      <c r="C1480">
        <v>0</v>
      </c>
      <c r="D1480" t="str">
        <v>[]</v>
      </c>
    </row>
    <row r="1481">
      <c r="A1481" t="str">
        <v>STK-FOP-CD</v>
      </c>
      <c r="B1481" t="str">
        <v/>
      </c>
      <c r="C1481">
        <v>0</v>
      </c>
      <c r="D1481" t="str">
        <v>[]</v>
      </c>
    </row>
    <row r="1482">
      <c r="A1482" t="str">
        <v>STK-FN-CPLWPA-CD</v>
      </c>
      <c r="B1482" t="str">
        <v/>
      </c>
      <c r="C1482">
        <v>0</v>
      </c>
      <c r="D1482" t="str">
        <v>[]</v>
      </c>
    </row>
    <row r="1483">
      <c r="A1483" t="str">
        <v>STK-FN-KYFUA-CD</v>
      </c>
      <c r="B1483" t="str">
        <v/>
      </c>
      <c r="C1483">
        <v>0</v>
      </c>
      <c r="D1483" t="str">
        <v>[]</v>
      </c>
    </row>
    <row r="1484">
      <c r="A1484" t="str">
        <v>STK-FN-MCPSUA-CD</v>
      </c>
      <c r="B1484" t="str">
        <v/>
      </c>
      <c r="C1484">
        <v>0</v>
      </c>
      <c r="D1484" t="str">
        <v>[]</v>
      </c>
    </row>
    <row r="1485">
      <c r="A1485" t="str">
        <v>STK-FN-MCSVUA-CD</v>
      </c>
      <c r="B1485" t="str">
        <v/>
      </c>
      <c r="C1485">
        <v>0</v>
      </c>
      <c r="D1485" t="str">
        <v>[]</v>
      </c>
    </row>
    <row r="1486">
      <c r="A1486" t="str">
        <v>STK-FN-OFKBA-CD</v>
      </c>
      <c r="B1486" t="str">
        <v/>
      </c>
      <c r="C1486">
        <v>0</v>
      </c>
      <c r="D1486" t="str">
        <v>[]</v>
      </c>
    </row>
    <row r="1487">
      <c r="A1487" t="str">
        <v>STK-FN-OPCF-CD</v>
      </c>
      <c r="B1487" t="str">
        <v/>
      </c>
      <c r="C1487">
        <v>0</v>
      </c>
      <c r="D1487" t="str">
        <v>[]</v>
      </c>
    </row>
    <row r="1488">
      <c r="A1488" t="str">
        <v>STK-FN-OPCUA-CD</v>
      </c>
      <c r="B1488" t="str">
        <v/>
      </c>
      <c r="C1488">
        <v>0</v>
      </c>
      <c r="D1488" t="str">
        <v>[]</v>
      </c>
    </row>
    <row r="1489">
      <c r="A1489" t="str">
        <v>STK-FN-PFBM-CD</v>
      </c>
      <c r="B1489" t="str">
        <v/>
      </c>
      <c r="C1489">
        <v>0</v>
      </c>
      <c r="D1489" t="str">
        <v>[]</v>
      </c>
    </row>
    <row r="1490">
      <c r="A1490" t="str">
        <v>STK-FN-PFKBM-CD</v>
      </c>
      <c r="B1490" t="str">
        <v/>
      </c>
      <c r="C1490">
        <v>0</v>
      </c>
      <c r="D1490" t="str">
        <v>[]</v>
      </c>
    </row>
    <row r="1491">
      <c r="A1491" t="str">
        <v>STK-NF-CPLW-PA-CD</v>
      </c>
      <c r="B1491" t="str">
        <v/>
      </c>
      <c r="C1491">
        <v>0</v>
      </c>
      <c r="D1491" t="str">
        <v>[]</v>
      </c>
    </row>
    <row r="1492">
      <c r="A1492" t="str">
        <v>STK-NF-KYF-UA-CD</v>
      </c>
      <c r="B1492" t="str">
        <v/>
      </c>
      <c r="C1492">
        <v>0</v>
      </c>
      <c r="D1492" t="str">
        <v>[]</v>
      </c>
    </row>
    <row r="1493">
      <c r="A1493" t="str">
        <v>STK-NF-MCPS-UA-CD</v>
      </c>
      <c r="B1493" t="str">
        <v/>
      </c>
      <c r="C1493">
        <v>0</v>
      </c>
      <c r="D1493" t="str">
        <v>[]</v>
      </c>
    </row>
    <row r="1494">
      <c r="A1494" t="str">
        <v>STK-NF-MCSV-UA-CD</v>
      </c>
      <c r="B1494" t="str">
        <v/>
      </c>
      <c r="C1494">
        <v>0</v>
      </c>
      <c r="D1494" t="str">
        <v>[]</v>
      </c>
    </row>
    <row r="1495">
      <c r="A1495" t="str">
        <v>STK-NF-OFKBA-CD</v>
      </c>
      <c r="B1495" t="str">
        <v/>
      </c>
      <c r="C1495">
        <v>0</v>
      </c>
      <c r="D1495" t="str">
        <v>[]</v>
      </c>
    </row>
    <row r="1496">
      <c r="A1496" t="str">
        <v>STK-NF-OPC-F.CD</v>
      </c>
      <c r="B1496" t="str">
        <v/>
      </c>
      <c r="C1496">
        <v>0</v>
      </c>
      <c r="D1496" t="str">
        <v>[]</v>
      </c>
    </row>
    <row r="1497">
      <c r="A1497" t="str">
        <v>STK-NF-OPC-UA-CD</v>
      </c>
      <c r="B1497" t="str">
        <v/>
      </c>
      <c r="C1497">
        <v>0</v>
      </c>
      <c r="D1497" t="str">
        <v>[]</v>
      </c>
    </row>
    <row r="1498">
      <c r="A1498" t="str">
        <v>STK-NF-PFBM-CD</v>
      </c>
      <c r="B1498" t="str">
        <v/>
      </c>
      <c r="C1498">
        <v>0</v>
      </c>
      <c r="D1498" t="str">
        <v>[]</v>
      </c>
    </row>
    <row r="1499">
      <c r="A1499" t="str">
        <v>STK-NF-PFKBM-CD</v>
      </c>
      <c r="B1499" t="str">
        <v/>
      </c>
      <c r="C1499">
        <v>0</v>
      </c>
      <c r="D1499" t="str">
        <v>[]</v>
      </c>
    </row>
    <row r="1500">
      <c r="A1500" t="str">
        <v>STK-FN-RCBM-CD</v>
      </c>
      <c r="B1500" t="str">
        <v/>
      </c>
      <c r="C1500">
        <v>0</v>
      </c>
      <c r="D1500" t="str">
        <v>[]</v>
      </c>
    </row>
    <row r="1501">
      <c r="A1501" t="str">
        <v>STK-NF-RCBM-CD</v>
      </c>
      <c r="B1501" t="str">
        <v/>
      </c>
      <c r="C1501">
        <v>0</v>
      </c>
      <c r="D1501" t="str">
        <v>[]</v>
      </c>
    </row>
    <row r="1502">
      <c r="A1502" t="str">
        <v>STK-FN-RCUA-CD</v>
      </c>
      <c r="B1502" t="str">
        <v/>
      </c>
      <c r="C1502">
        <v>0</v>
      </c>
      <c r="D1502" t="str">
        <v>[]</v>
      </c>
    </row>
    <row r="1503">
      <c r="A1503" t="str">
        <v>STK-NF-RC-UA-CD</v>
      </c>
      <c r="B1503" t="str">
        <v/>
      </c>
      <c r="C1503">
        <v>0</v>
      </c>
      <c r="D1503" t="str">
        <v>[]</v>
      </c>
    </row>
    <row r="1504">
      <c r="A1504" t="str">
        <v>STK-FN-SOPCF-CD</v>
      </c>
      <c r="B1504" t="str">
        <v/>
      </c>
      <c r="C1504">
        <v>0</v>
      </c>
      <c r="D1504" t="str">
        <v>[]</v>
      </c>
    </row>
    <row r="1505">
      <c r="A1505" t="str">
        <v>STK-NF-SOPC-F-CD</v>
      </c>
      <c r="B1505" t="str">
        <v/>
      </c>
      <c r="C1505">
        <v>0</v>
      </c>
      <c r="D1505" t="str">
        <v>[]</v>
      </c>
    </row>
    <row r="1506">
      <c r="A1506" t="str">
        <v>STK-FN-SOPCUA-CD</v>
      </c>
      <c r="B1506" t="str">
        <v/>
      </c>
      <c r="C1506">
        <v>0</v>
      </c>
      <c r="D1506" t="str">
        <v>[]</v>
      </c>
    </row>
    <row r="1507">
      <c r="A1507" t="str">
        <v>STK-NF-SOPC-UA-CD</v>
      </c>
      <c r="B1507" t="str">
        <v/>
      </c>
      <c r="C1507">
        <v>0</v>
      </c>
      <c r="D1507" t="str">
        <v>[]</v>
      </c>
    </row>
    <row r="1508">
      <c r="A1508" t="str">
        <v>KOREA STICKERS</v>
      </c>
      <c r="B1508" t="str">
        <v/>
      </c>
      <c r="C1508">
        <v>0</v>
      </c>
      <c r="D1508" t="str">
        <v>[]</v>
      </c>
    </row>
    <row r="1509">
      <c r="A1509" t="str">
        <v>STK-NF-PFKBM-KOR</v>
      </c>
      <c r="B1509" t="str">
        <v/>
      </c>
      <c r="C1509">
        <v>0</v>
      </c>
      <c r="D1509" t="str">
        <v>[]</v>
      </c>
    </row>
    <row r="1510">
      <c r="A1510" t="str">
        <v>STK-NF-PFBQBM-KOR</v>
      </c>
      <c r="B1510" t="str">
        <v/>
      </c>
      <c r="C1510">
        <v>0</v>
      </c>
      <c r="D1510" t="str">
        <v>[]</v>
      </c>
    </row>
    <row r="1511">
      <c r="A1511" t="str">
        <v>STK-NF-SOPCUA-KOR</v>
      </c>
      <c r="B1511" t="str">
        <v/>
      </c>
      <c r="C1511">
        <v>0</v>
      </c>
      <c r="D1511" t="str">
        <v>[]</v>
      </c>
    </row>
    <row r="1512">
      <c r="A1512" t="str">
        <v>UA30 STICKERS</v>
      </c>
      <c r="B1512" t="str">
        <v/>
      </c>
      <c r="C1512">
        <v>0</v>
      </c>
      <c r="D1512" t="str">
        <v>[]</v>
      </c>
    </row>
    <row r="1513">
      <c r="A1513" t="str">
        <v>STK-COC-UA30</v>
      </c>
      <c r="B1513" t="str">
        <v/>
      </c>
      <c r="C1513">
        <v>0</v>
      </c>
      <c r="D1513" t="str">
        <v>[]</v>
      </c>
    </row>
    <row r="1514">
      <c r="A1514" t="str">
        <v>STK-CRP-UA30</v>
      </c>
      <c r="B1514" t="str">
        <v/>
      </c>
      <c r="C1514">
        <v>0</v>
      </c>
      <c r="D1514" t="str">
        <v>[]</v>
      </c>
    </row>
    <row r="1515">
      <c r="A1515" t="str">
        <v>STK-EHOPC-UA30</v>
      </c>
      <c r="B1515" t="str">
        <v/>
      </c>
      <c r="C1515">
        <v>0</v>
      </c>
      <c r="D1515" t="str">
        <v>[]</v>
      </c>
    </row>
    <row r="1516">
      <c r="A1516" t="str">
        <v>STK-KYF-UA30</v>
      </c>
      <c r="B1516" t="str">
        <v/>
      </c>
      <c r="C1516">
        <v>0</v>
      </c>
      <c r="D1516" t="str">
        <v>[]</v>
      </c>
    </row>
    <row r="1517">
      <c r="A1517" t="str">
        <v>STK-MBS-UA30</v>
      </c>
      <c r="B1517" t="str">
        <v/>
      </c>
      <c r="C1517">
        <v>0</v>
      </c>
      <c r="D1517" t="str">
        <v>[]</v>
      </c>
    </row>
    <row r="1518">
      <c r="A1518" t="str">
        <v>STK-MCCI-UA30</v>
      </c>
      <c r="B1518" t="str">
        <v/>
      </c>
      <c r="C1518">
        <v>0</v>
      </c>
      <c r="D1518" t="str">
        <v>[]</v>
      </c>
    </row>
    <row r="1519">
      <c r="A1519" t="str">
        <v>STK-MCPS-UA30</v>
      </c>
      <c r="B1519" t="str">
        <v/>
      </c>
      <c r="C1519">
        <v>0</v>
      </c>
      <c r="D1519" t="str">
        <v>[]</v>
      </c>
    </row>
    <row r="1520">
      <c r="A1520" t="str">
        <v>STK-MCSV-UA30</v>
      </c>
      <c r="B1520" t="str">
        <v/>
      </c>
      <c r="C1520">
        <v>0</v>
      </c>
      <c r="D1520" t="str">
        <v>[]</v>
      </c>
    </row>
    <row r="1521">
      <c r="A1521" t="str">
        <v>STK-MCSVF-UA30</v>
      </c>
      <c r="B1521" t="str">
        <v/>
      </c>
      <c r="C1521">
        <v>0</v>
      </c>
      <c r="D1521" t="str">
        <v>[]</v>
      </c>
    </row>
    <row r="1522">
      <c r="A1522" t="str">
        <v>STK-MIGCH-UA30</v>
      </c>
      <c r="B1522" t="str">
        <v/>
      </c>
      <c r="C1522">
        <v>0</v>
      </c>
      <c r="D1522" t="str">
        <v>[]</v>
      </c>
    </row>
    <row r="1523">
      <c r="A1523" t="str">
        <v>STK-MIGSWC-UA30</v>
      </c>
      <c r="B1523" t="str">
        <v/>
      </c>
      <c r="C1523">
        <v>0</v>
      </c>
      <c r="D1523" t="str">
        <v>[]</v>
      </c>
    </row>
    <row r="1524">
      <c r="A1524" t="str">
        <v>STK-OFC-UA30</v>
      </c>
      <c r="B1524" t="str">
        <v/>
      </c>
      <c r="C1524">
        <v>0</v>
      </c>
      <c r="D1524" t="str">
        <v>[]</v>
      </c>
    </row>
    <row r="1525">
      <c r="A1525" t="str">
        <v>STK-OPC-UA30</v>
      </c>
      <c r="B1525" t="str">
        <v/>
      </c>
      <c r="C1525">
        <v>0</v>
      </c>
      <c r="D1525" t="str">
        <v>[]</v>
      </c>
    </row>
    <row r="1526">
      <c r="A1526" t="str">
        <v>STK-OPSS-UA30</v>
      </c>
      <c r="B1526" t="str">
        <v/>
      </c>
      <c r="C1526">
        <v>0</v>
      </c>
      <c r="D1526" t="str">
        <v>[]</v>
      </c>
    </row>
    <row r="1527">
      <c r="A1527" t="str">
        <v>STK-OOR-UA30</v>
      </c>
      <c r="B1527" t="str">
        <v/>
      </c>
      <c r="C1527">
        <v>0</v>
      </c>
      <c r="D1527" t="str">
        <v>[]</v>
      </c>
    </row>
    <row r="1528">
      <c r="A1528" t="str">
        <v>STK-PF-UA30</v>
      </c>
      <c r="B1528" t="str">
        <v/>
      </c>
      <c r="C1528">
        <v>0</v>
      </c>
      <c r="D1528" t="str">
        <v>[]</v>
      </c>
    </row>
    <row r="1529">
      <c r="A1529" t="str">
        <v>STK-PFC-UA30</v>
      </c>
      <c r="B1529" t="str">
        <v/>
      </c>
      <c r="C1529">
        <v>0</v>
      </c>
      <c r="D1529" t="str">
        <v>[]</v>
      </c>
    </row>
    <row r="1530">
      <c r="A1530" t="str">
        <v>STK-RC-UA30</v>
      </c>
      <c r="B1530" t="str">
        <v/>
      </c>
      <c r="C1530">
        <v>0</v>
      </c>
      <c r="D1530" t="str">
        <v>[]</v>
      </c>
    </row>
    <row r="1531">
      <c r="A1531" t="str">
        <v>STK-RCS-UA30</v>
      </c>
      <c r="B1531" t="str">
        <v/>
      </c>
      <c r="C1531">
        <v>0</v>
      </c>
      <c r="D1531" t="str">
        <v>[]</v>
      </c>
    </row>
    <row r="1532">
      <c r="A1532" t="str">
        <v>STK-SOPC-UA30</v>
      </c>
      <c r="B1532" t="str">
        <v/>
      </c>
      <c r="C1532">
        <v>0</v>
      </c>
      <c r="D1532" t="str">
        <v>[]</v>
      </c>
    </row>
    <row r="1533">
      <c r="A1533" t="str">
        <v>STK-SSC-UA30</v>
      </c>
      <c r="B1533" t="str">
        <v/>
      </c>
      <c r="C1533">
        <v>0</v>
      </c>
      <c r="D1533" t="str">
        <v>[]</v>
      </c>
    </row>
    <row r="1534">
      <c r="A1534" t="str">
        <v>STK-TTC-UA30</v>
      </c>
      <c r="B1534" t="str">
        <v/>
      </c>
      <c r="C1534">
        <v>0</v>
      </c>
      <c r="D1534" t="str">
        <v>[]</v>
      </c>
    </row>
    <row r="1535">
      <c r="A1535" t="str">
        <v>OTHER STICKERS</v>
      </c>
      <c r="B1535" t="str">
        <v/>
      </c>
      <c r="C1535">
        <v>0</v>
      </c>
      <c r="D1535" t="str">
        <v>[]</v>
      </c>
    </row>
    <row r="1536">
      <c r="A1536" t="str">
        <v>STK-CHEMICAL</v>
      </c>
      <c r="B1536" t="str">
        <v/>
      </c>
      <c r="C1536">
        <v>0</v>
      </c>
      <c r="D1536" t="str">
        <v>[]</v>
      </c>
    </row>
    <row r="1537">
      <c r="A1537" t="str">
        <v>STK-WP65-BM</v>
      </c>
      <c r="B1537" t="str">
        <v/>
      </c>
      <c r="C1537">
        <v>0</v>
      </c>
      <c r="D1537" t="str">
        <v>[]</v>
      </c>
    </row>
    <row r="1538">
      <c r="A1538" t="str">
        <v>STK-WP65-UA</v>
      </c>
      <c r="B1538" t="str">
        <v/>
      </c>
      <c r="C1538">
        <v>0</v>
      </c>
      <c r="D1538" t="str">
        <v>[]</v>
      </c>
    </row>
    <row r="1539">
      <c r="A1539" t="str">
        <v>SANGKAP PINOY</v>
      </c>
      <c r="B1539" t="str">
        <v/>
      </c>
      <c r="C1539">
        <v>0</v>
      </c>
      <c r="D1539" t="str">
        <v>[]</v>
      </c>
    </row>
    <row r="1540">
      <c r="A1540" t="str">
        <v>STK-CSP-KYFXS-TAI</v>
      </c>
      <c r="B1540" t="str">
        <v/>
      </c>
      <c r="C1540">
        <v>0</v>
      </c>
      <c r="D1540" t="str">
        <v>[]</v>
      </c>
    </row>
    <row r="1541">
      <c r="A1541" t="str">
        <v>STK-CSP-OORXS-TAI</v>
      </c>
      <c r="B1541" t="str">
        <v/>
      </c>
      <c r="C1541">
        <v>0</v>
      </c>
      <c r="D1541" t="str">
        <v>[]</v>
      </c>
    </row>
    <row r="1542">
      <c r="A1542" t="str">
        <v>STK-CSP-OPCXS-TAI</v>
      </c>
      <c r="B1542" t="str">
        <v/>
      </c>
      <c r="C1542">
        <v>0</v>
      </c>
      <c r="D1542" t="str">
        <v>[]</v>
      </c>
    </row>
    <row r="1543">
      <c r="A1543" t="str">
        <v>STK-CSP-BGMXS-TAI</v>
      </c>
      <c r="B1543" t="str">
        <v/>
      </c>
      <c r="C1543">
        <v>0</v>
      </c>
      <c r="D1543" t="str">
        <v>[]</v>
      </c>
    </row>
    <row r="1544">
      <c r="A1544" t="str">
        <v>MONDE</v>
      </c>
      <c r="B1544" t="str">
        <v/>
      </c>
      <c r="C1544">
        <v>0</v>
      </c>
      <c r="D1544" t="str">
        <v>[]</v>
      </c>
    </row>
    <row r="1545">
      <c r="A1545" t="str">
        <v>STK-MVC</v>
      </c>
      <c r="B1545" t="str">
        <v/>
      </c>
      <c r="C1545">
        <v>0</v>
      </c>
      <c r="D1545" t="str">
        <v>[]</v>
      </c>
    </row>
    <row r="1546">
      <c r="A1546" t="str">
        <v>STK-MVC-CTN</v>
      </c>
      <c r="B1546" t="str">
        <v/>
      </c>
      <c r="C1546">
        <v>0</v>
      </c>
      <c r="D1546" t="str">
        <v>[]</v>
      </c>
    </row>
    <row r="1547">
      <c r="A1547" t="str">
        <v>SACKS</v>
      </c>
      <c r="B1547" t="str">
        <v/>
      </c>
      <c r="C1547">
        <v>0</v>
      </c>
      <c r="D1547" t="str">
        <v>[]</v>
      </c>
    </row>
    <row r="1548">
      <c r="A1548" t="str">
        <v>SACK-B</v>
      </c>
      <c r="B1548" t="str">
        <v/>
      </c>
      <c r="C1548">
        <v>0</v>
      </c>
      <c r="D1548" t="str">
        <v>[]</v>
      </c>
    </row>
    <row r="1549">
      <c r="A1549" t="str">
        <v>SACK-W</v>
      </c>
      <c r="B1549" t="str">
        <v/>
      </c>
      <c r="C1549">
        <v>0</v>
      </c>
      <c r="D1549" t="str">
        <v>[]</v>
      </c>
    </row>
    <row r="1550">
      <c r="A1550" t="str">
        <v>SACK-Y</v>
      </c>
      <c r="B1550" t="str">
        <v/>
      </c>
      <c r="C1550">
        <v>0</v>
      </c>
      <c r="D1550" t="str">
        <v>[]</v>
      </c>
    </row>
    <row r="1551">
      <c r="A1551" t="str">
        <v>SACK-WW</v>
      </c>
      <c r="B1551" t="str">
        <v/>
      </c>
      <c r="C1551">
        <v>0</v>
      </c>
      <c r="D1551" t="str">
        <v>[]</v>
      </c>
    </row>
    <row r="1552">
      <c r="A1552" t="str">
        <v>GMM00000087</v>
      </c>
      <c r="B1552" t="str">
        <v/>
      </c>
      <c r="C1552">
        <v>0</v>
      </c>
      <c r="D1552" t="str">
        <v>[]</v>
      </c>
    </row>
    <row r="1553">
      <c r="A1553" t="str">
        <v>FS-BNYR</v>
      </c>
      <c r="B1553" t="str">
        <v/>
      </c>
      <c r="C1553">
        <v>0</v>
      </c>
      <c r="D1553" t="str">
        <v>[]</v>
      </c>
    </row>
    <row r="1554">
      <c r="A1554" t="str">
        <v>DSC3G</v>
      </c>
      <c r="B1554" t="str">
        <v/>
      </c>
      <c r="C1554">
        <v>0</v>
      </c>
      <c r="D1554" t="str">
        <v>[]</v>
      </c>
    </row>
    <row r="1555">
      <c r="A1555" t="str">
        <v>G4JAR</v>
      </c>
      <c r="B1555" t="str">
        <v/>
      </c>
      <c r="C1555">
        <v>0</v>
      </c>
      <c r="D1555" t="str">
        <v>[]</v>
      </c>
    </row>
    <row r="1556">
      <c r="A1556" t="str">
        <v>ALJAR</v>
      </c>
      <c r="B1556" t="str">
        <v/>
      </c>
      <c r="C1556">
        <v>0</v>
      </c>
      <c r="D1556" t="str">
        <v>[]</v>
      </c>
    </row>
    <row r="1557">
      <c r="A1557" t="str">
        <v>LNR-99.5PP</v>
      </c>
      <c r="B1557" t="str">
        <v/>
      </c>
      <c r="C1557">
        <v>0</v>
      </c>
      <c r="D1557" t="str">
        <v>[]</v>
      </c>
    </row>
    <row r="1558">
      <c r="A1558" t="str">
        <v>kyfl</v>
      </c>
      <c r="B1558" t="str">
        <v/>
      </c>
      <c r="C1558">
        <v>0</v>
      </c>
      <c r="D1558" t="str">
        <v>[]</v>
      </c>
    </row>
  </sheetData>
  <ignoredErrors>
    <ignoredError numberStoredAsText="1" sqref="A1:D155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246"/>
  <sheetViews>
    <sheetView workbookViewId="0"/>
  </sheetViews>
  <sheetData>
    <row r="1">
      <c r="A1" t="str">
        <v>Timestamp</v>
      </c>
      <c r="B1" t="str">
        <v>Action</v>
      </c>
      <c r="C1" t="str">
        <v>Code</v>
      </c>
      <c r="D1" t="str">
        <v>Details</v>
      </c>
    </row>
    <row r="2">
      <c r="A2" t="str">
        <v>2026-02-24T17:02:06.608Z</v>
      </c>
      <c r="B2" t="str">
        <v>EDIT ITEM</v>
      </c>
      <c r="C2" t="str">
        <v>LBL-SOPCL24G_NS</v>
      </c>
      <c r="D2" t="str">
        <v>Qty: "19×48 | 43 | 21" -&gt; "20×48 | 16"</v>
      </c>
    </row>
    <row r="3">
      <c r="A3" t="str">
        <v>2026-02-24T17:01:53.912Z</v>
      </c>
      <c r="B3" t="str">
        <v>EDIT ITEM</v>
      </c>
      <c r="C3" t="str">
        <v>LBL-RCUA90G-8_NS</v>
      </c>
      <c r="D3" t="str">
        <v>Qty: "4×18 | 23 | 1×18 | 10" -&gt; "5×18 | 23 | 10"</v>
      </c>
    </row>
    <row r="4">
      <c r="A4" t="str">
        <v>2026-02-24T17:01:33.984Z</v>
      </c>
      <c r="B4" t="str">
        <v>EDIT ITEM</v>
      </c>
      <c r="C4" t="str">
        <v>LBL-PFCLB21G_NS</v>
      </c>
      <c r="D4" t="str">
        <v>Qty: "6×48 | 2 | 7×48" -&gt; "13×48 | 2 "</v>
      </c>
    </row>
    <row r="5">
      <c r="A5" t="str">
        <v>2026-02-24T16:48:12.028Z</v>
      </c>
      <c r="B5" t="str">
        <v>PRINT</v>
      </c>
      <c r="C5" t="str">
        <v>-</v>
      </c>
      <c r="D5" t="str">
        <v>Inventory count sheet printed.</v>
      </c>
    </row>
    <row r="6">
      <c r="A6" t="str">
        <v>2026-02-24T16:46:59.386Z</v>
      </c>
      <c r="B6" t="str">
        <v>PRINT</v>
      </c>
      <c r="C6" t="str">
        <v>-</v>
      </c>
      <c r="D6" t="str">
        <v>Inventory count sheet printed.</v>
      </c>
    </row>
    <row r="7">
      <c r="A7" t="str">
        <v>2026-02-24T16:45:58.408Z</v>
      </c>
      <c r="B7" t="str">
        <v>BULK WITHDRAW</v>
      </c>
      <c r="C7" t="str">
        <v>13 items</v>
      </c>
      <c r="D7" t="str">
        <v>BAG-B21.50X29PE (-24,000), BAG-A23X42PE-G (-6,000), BAG-A26.5X37.5PE (-24,000), BAG-B17.5X34PE (-10,800), LBL-KYFL20G_NS (-48), LBL-KYFF45GH_NS (-36), LBL-KYFUA60G8_NS (-18), LBL-PFCUA90G-8_NS (-18), LBL-RCL24G_NS (-48), LBL-RCSL24G_NS (-48), LBL-RCSUA85G8_NS (-18), LBL-SOPCL24G_NS (-18), LBL-CRPL24G-VL-ND (-96)</v>
      </c>
    </row>
    <row r="8">
      <c r="A8" t="str">
        <v>2026-02-24T16:43:20.667Z</v>
      </c>
      <c r="B8" t="str">
        <v>DELIVERY (BULK)</v>
      </c>
      <c r="C8" t="str">
        <v>LBL-OFKBA80G-800</v>
      </c>
      <c r="D8" t="str">
        <v>+144 pcs</v>
      </c>
    </row>
    <row r="9">
      <c r="A9" t="str">
        <v>2026-02-24T16:43:20.453Z</v>
      </c>
      <c r="B9" t="str">
        <v>DELIVERY (BULK)</v>
      </c>
      <c r="C9" t="str">
        <v>LBL-SSCUA90G8_NS</v>
      </c>
      <c r="D9" t="str">
        <v>+138 pcs</v>
      </c>
    </row>
    <row r="10">
      <c r="A10" t="str">
        <v>2026-02-24T16:43:20.228Z</v>
      </c>
      <c r="B10" t="str">
        <v>DELIVERY (BULK)</v>
      </c>
      <c r="C10" t="str">
        <v>LBL-RCUA90G-8_NS</v>
      </c>
      <c r="D10" t="str">
        <v>+28 pcs</v>
      </c>
    </row>
    <row r="11">
      <c r="A11" t="str">
        <v>2026-02-24T16:43:20.004Z</v>
      </c>
      <c r="B11" t="str">
        <v>DELIVERY (BULK)</v>
      </c>
      <c r="C11" t="str">
        <v>LBL-PFCLB21G_NS</v>
      </c>
      <c r="D11" t="str">
        <v>+336 pcs</v>
      </c>
    </row>
    <row r="12">
      <c r="A12" t="str">
        <v>2026-02-24T09:55:27.559Z</v>
      </c>
      <c r="B12" t="str">
        <v>PRINT</v>
      </c>
      <c r="C12" t="str">
        <v>-</v>
      </c>
      <c r="D12" t="str">
        <v>Inventory count sheet printed.</v>
      </c>
    </row>
    <row r="13">
      <c r="A13" t="str">
        <v>2026-02-24T09:55:24.047Z</v>
      </c>
      <c r="B13" t="str">
        <v>EXPORT REPORT</v>
      </c>
      <c r="C13" t="str">
        <v>-</v>
      </c>
      <c r="D13" t="str">
        <v>Human-readable report exported.</v>
      </c>
    </row>
    <row r="14">
      <c r="A14" t="str">
        <v>2026-02-24T09:55:18.221Z</v>
      </c>
      <c r="B14" t="str">
        <v>BACKUP</v>
      </c>
      <c r="C14" t="str">
        <v>-</v>
      </c>
      <c r="D14" t="str">
        <v>Full inventory state backed up.</v>
      </c>
    </row>
    <row r="15">
      <c r="A15" t="str">
        <v>2026-02-24T09:54:41.646Z</v>
      </c>
      <c r="B15" t="str">
        <v>EDIT ITEM</v>
      </c>
      <c r="C15" t="str">
        <v>LBL-CRPL24G-VL-ND</v>
      </c>
      <c r="D15" t="str">
        <v>Qty: "41×48 | 48" -&gt; "42×48"</v>
      </c>
    </row>
    <row r="16">
      <c r="A16" t="str">
        <v>2026-02-24T09:54:28.414Z</v>
      </c>
      <c r="B16" t="str">
        <v>EDIT ITEM</v>
      </c>
      <c r="C16" t="str">
        <v>LBL-SSCL24G_NS</v>
      </c>
      <c r="D16" t="str">
        <v>Qty: "5×48 | 24" -&gt; "5×48 | 13 l 11"</v>
      </c>
    </row>
    <row r="17">
      <c r="A17" t="str">
        <v>2026-02-24T09:54:10.358Z</v>
      </c>
      <c r="B17" t="str">
        <v>EDIT ITEM</v>
      </c>
      <c r="C17" t="str">
        <v>LBL-RCUA90G-8_NS</v>
      </c>
      <c r="D17" t="str">
        <v>Qty: "4×18 | 23" -&gt; "4×18 | 23"</v>
      </c>
    </row>
    <row r="18">
      <c r="A18" t="str">
        <v>2026-02-24T09:54:00.326Z</v>
      </c>
      <c r="B18" t="str">
        <v>EDIT ITEM</v>
      </c>
      <c r="C18" t="str">
        <v>LBL-RCUA90G-8_NS</v>
      </c>
      <c r="D18" t="str">
        <v>Qty: "5×18 | 5" -&gt; "4×18 | 23"</v>
      </c>
    </row>
    <row r="19">
      <c r="A19" t="str">
        <v>2026-02-24T09:53:42.742Z</v>
      </c>
      <c r="B19" t="str">
        <v>EDIT ITEM</v>
      </c>
      <c r="C19" t="str">
        <v>LBL-RCSL24G_NS</v>
      </c>
      <c r="D19" t="str">
        <v>Qty: "6×48 | 6×48" -&gt; "12×48"</v>
      </c>
    </row>
    <row r="20">
      <c r="A20" t="str">
        <v>2026-02-24T09:53:31.662Z</v>
      </c>
      <c r="B20" t="str">
        <v>EDIT ITEM</v>
      </c>
      <c r="C20" t="str">
        <v>LBL-PFCUA90G-8_NS</v>
      </c>
      <c r="D20" t="str">
        <v>Qty: "15×18 | 10" -&gt; "16×18 | 9"</v>
      </c>
    </row>
    <row r="21">
      <c r="A21" t="str">
        <v>2026-02-24T09:53:11.590Z</v>
      </c>
      <c r="B21" t="str">
        <v>EDIT ITEM</v>
      </c>
      <c r="C21" t="str">
        <v>LBL-KYFUA60G8_NS</v>
      </c>
      <c r="D21" t="str">
        <v>Qty: "5×18 | 2" -&gt; "4×18 | 20"</v>
      </c>
    </row>
    <row r="22">
      <c r="A22" t="str">
        <v>2026-02-24T09:52:56.510Z</v>
      </c>
      <c r="B22" t="str">
        <v>EDIT ITEM</v>
      </c>
      <c r="C22" t="str">
        <v>LBL-CRPUA85G8_NS</v>
      </c>
      <c r="D22" t="str">
        <v>Qty: "27×18 | 8" -&gt; "27×18 | 8 l 6"</v>
      </c>
    </row>
    <row r="23">
      <c r="A23" t="str">
        <v>2026-02-24T09:52:34.510Z</v>
      </c>
      <c r="B23" t="str">
        <v>EDIT ITEM</v>
      </c>
      <c r="C23" t="str">
        <v>BAG-B18X30BPE</v>
      </c>
      <c r="D23" t="str">
        <v>Qty: "8×36000 | 27000 | 6×36000" -&gt; "11×36000 | 27000 | 7×36000"</v>
      </c>
    </row>
    <row r="24">
      <c r="A24" t="str">
        <v>2026-02-24T09:52:16.038Z</v>
      </c>
      <c r="B24" t="str">
        <v>EDIT ITEM</v>
      </c>
      <c r="C24" t="str">
        <v>BAG-A26.5X37.5PE</v>
      </c>
      <c r="D24" t="str">
        <v>Qty: "11×24000 | 12300 | 9×24000 | 8600" -&gt; "12×24000 | 300 | 8×24000 | 20600"</v>
      </c>
    </row>
    <row r="25">
      <c r="A25" t="str">
        <v>2026-02-24T09:51:44.959Z</v>
      </c>
      <c r="B25" t="str">
        <v>EDIT ITEM</v>
      </c>
      <c r="C25" t="str">
        <v>BAG-A26X45HD</v>
      </c>
      <c r="D25" t="str">
        <v>Qty: "2×19200 | 4×19200 | 600" -&gt; "5×19200 | 19800"</v>
      </c>
    </row>
    <row r="26">
      <c r="A26" t="str">
        <v>2026-02-24T09:51:24.766Z</v>
      </c>
      <c r="B26" t="str">
        <v>EDIT ITEM</v>
      </c>
      <c r="C26" t="str">
        <v>BAG-A25.5X32PE</v>
      </c>
      <c r="D26" t="str">
        <v>Qty: "11×24000 | 19200 | 12×24000 | 2×24000 | 14100 | 3000" -&gt; "11×24000 | 22200 | 12×24000 | 2×24000 | 14100 "</v>
      </c>
    </row>
    <row r="27">
      <c r="A27" t="str">
        <v>2026-02-24T09:51:01.695Z</v>
      </c>
      <c r="B27" t="str">
        <v>EDIT ITEM</v>
      </c>
      <c r="C27" t="str">
        <v>BAG-B23X29.53W/HO</v>
      </c>
      <c r="D27" t="str">
        <v>Qty: "11×24000 | 3600 | 22500 | 4×24000 | 2×24000 | 26700" -&gt; "12×24000 | 15900 | 22500 | 4×24000 | 11700 | 26700"</v>
      </c>
    </row>
    <row r="28">
      <c r="A28" t="str">
        <v>2026-02-24T09:49:33.838Z</v>
      </c>
      <c r="B28" t="str">
        <v>EDIT ITEM</v>
      </c>
      <c r="C28" t="str">
        <v>BAG-B21.50X29PE</v>
      </c>
      <c r="D28" t="str">
        <v>Qty: "44×24000 | 20100 | 3000 | 2×24000 | 15000" -&gt; "46×24000 | 14400 | 20700 | 3000"</v>
      </c>
    </row>
    <row r="29">
      <c r="A29" t="str">
        <v>2026-02-24T09:48:50.376Z</v>
      </c>
      <c r="B29" t="str">
        <v>EDIT ITEM</v>
      </c>
      <c r="C29" t="str">
        <v>BAG-A20.5X45PE</v>
      </c>
      <c r="D29" t="str">
        <v>Qty: "2×24000 | 5×24000 | 23100" -&gt; "2×24000 l 21000 | 5×24000 | 2100"</v>
      </c>
    </row>
    <row r="30">
      <c r="A30" t="str">
        <v>2026-02-24T08:20:51.030Z</v>
      </c>
      <c r="B30" t="str">
        <v>PRINT</v>
      </c>
      <c r="C30" t="str">
        <v>-</v>
      </c>
      <c r="D30" t="str">
        <v>Inventory count sheet printed.</v>
      </c>
    </row>
    <row r="31">
      <c r="A31" t="str">
        <v>2026-02-24T08:16:59.722Z</v>
      </c>
      <c r="B31" t="str">
        <v>PRINT</v>
      </c>
      <c r="C31" t="str">
        <v>-</v>
      </c>
      <c r="D31" t="str">
        <v>Inventory count sheet printed.</v>
      </c>
    </row>
    <row r="32">
      <c r="A32" t="str">
        <v>2026-02-24T08:16:48.116Z</v>
      </c>
      <c r="B32" t="str">
        <v>BULK WITHDRAW</v>
      </c>
      <c r="C32" t="str">
        <v>5 items</v>
      </c>
      <c r="D32" t="str">
        <v>BAG-B18X30BPE (-72,000), BAG-B22.50X34PE (-24,000), LBL-CRPUA85G8_NS (-18), LBL-PFCLB21G_NS (-12), LBL-RCSL24G_NS (-48)</v>
      </c>
    </row>
    <row r="33">
      <c r="A33" t="str">
        <v>2026-02-24T08:16:00.476Z</v>
      </c>
      <c r="B33" t="str">
        <v>BULK WITHDRAW</v>
      </c>
      <c r="C33" t="str">
        <v>25 items</v>
      </c>
      <c r="D33" t="str">
        <v>BAG-A19.5X35PE (-12,000), BAG-A20.5X45PE (-3,000), BAG-B21.50X29PE (-18,000), BAG-B23X29.53W/HO (-36,000), BAG-A23X42PE-G (-3,000), BAG-A25.5X32PE (-36,000), BAG-A26X45HD (-9,000), BAG-A26.5X37.5PE (-12,000), BAG-B22.50X37PE (-6,000), BUNDLES-44X60 (-100), LBL-COCL22G_NS (-10), LBL-CRPUA85G8_NS (-10), LBL-EHOPCL24G_NS (-10), LBL-KYFF45GH_NS (-5), LBL-OFKLF22G_NS (-10), LBL-PFBM50G-H_NS (-5), LBL-PFCBM50G_NS (-5), LBL-PFCLB21G_NS (-20), LBL-PFKBM50G-H_NS (-5), LBL-PFLB21G_NS (-10), LBL-RCSUA85G8_NS (-5), LBL-RCUA90G-8_NS (-10), LBL-SOPCL24G_NS (-48), LBL-SSCL24G_NS (-20), LBL-CRPL24G-VL-ND (-48)</v>
      </c>
    </row>
    <row r="34">
      <c r="A34" t="str">
        <v>2026-02-24T08:12:39.625Z</v>
      </c>
      <c r="B34" t="str">
        <v>BULK WITHDRAW</v>
      </c>
      <c r="C34" t="str">
        <v>9 items</v>
      </c>
      <c r="D34" t="str">
        <v>BAG-B21.50X29PE (-24,000), BAG-A23X42PE-G (-11,400), BAG-B17.5X34PE (-22,800), LBL-KYFUA60G8_NS (-16), LBL-OORUA75G (-18), LBL-OORXS5G-E_NS (-30), LBL-PFCUA90G-8_NS (-18), LBL-RCL24G_NS (-70), LBL-CRPL24G-VL-ND (-48)</v>
      </c>
    </row>
    <row r="35">
      <c r="A35" t="str">
        <v>2026-02-24T08:10:18.044Z</v>
      </c>
      <c r="B35" t="str">
        <v>DELIVERY (BULK)</v>
      </c>
      <c r="C35" t="str">
        <v>BAG-B23X29.53W/HO</v>
      </c>
      <c r="D35" t="str">
        <v>+74,700 pcs</v>
      </c>
    </row>
    <row r="36">
      <c r="A36" t="str">
        <v>2026-02-24T08:10:17.824Z</v>
      </c>
      <c r="B36" t="str">
        <v>DELIVERY (BULK)</v>
      </c>
      <c r="C36" t="str">
        <v>BAG-B21.50X29PE</v>
      </c>
      <c r="D36" t="str">
        <v>+63,000 pcs</v>
      </c>
    </row>
    <row r="37">
      <c r="A37" t="str">
        <v>2026-02-24T08:09:22.665Z</v>
      </c>
      <c r="B37" t="str">
        <v>DELIVERY (BULK)</v>
      </c>
      <c r="C37" t="str">
        <v>LBL-RCSL24G_NS</v>
      </c>
      <c r="D37" t="str">
        <v>+288 pcs</v>
      </c>
    </row>
    <row r="38">
      <c r="A38" t="str">
        <v>2026-02-24T08:08:19.865Z</v>
      </c>
      <c r="B38" t="str">
        <v>PRINT</v>
      </c>
      <c r="C38" t="str">
        <v>-</v>
      </c>
      <c r="D38" t="str">
        <v>Inventory count sheet printed.</v>
      </c>
    </row>
    <row r="39">
      <c r="A39" t="str">
        <v>2026-02-24T08:08:09.074Z</v>
      </c>
      <c r="B39" t="str">
        <v>EDIT ITEM</v>
      </c>
      <c r="C39" t="str">
        <v>LBL-CRPL24G-VL-ND</v>
      </c>
      <c r="D39" t="str">
        <v>Qty: "42×48 l 2x48" -&gt; "42×48 | 2×48"</v>
      </c>
    </row>
    <row r="40">
      <c r="A40" t="str">
        <v>2026-02-24T08:07:59.866Z</v>
      </c>
      <c r="B40" t="str">
        <v>EDIT ITEM</v>
      </c>
      <c r="C40" t="str">
        <v>LBL-OFCL24G-VL-ND</v>
      </c>
      <c r="D40" t="str">
        <v>Qty: "3×48 | 43" -&gt; "3×48 | 43"</v>
      </c>
    </row>
    <row r="41">
      <c r="A41" t="str">
        <v>2026-02-24T08:07:55.834Z</v>
      </c>
      <c r="B41" t="str">
        <v>EDIT ITEM</v>
      </c>
      <c r="C41" t="str">
        <v>LBL-OFCL24G-VL-ND</v>
      </c>
      <c r="D41" t="str">
        <v>Qty: "3×48 | 43" -&gt; "3×48 | 43"</v>
      </c>
    </row>
    <row r="42">
      <c r="A42" t="str">
        <v>2026-02-24T08:07:43.834Z</v>
      </c>
      <c r="B42" t="str">
        <v>EDIT ITEM</v>
      </c>
      <c r="C42" t="str">
        <v>LBL-SOPCL24G_NS</v>
      </c>
      <c r="D42" t="str">
        <v>Qty: "21×48 | 13 | 21" -&gt; "21×48 | 13 | 21"</v>
      </c>
    </row>
    <row r="43">
      <c r="A43" t="str">
        <v>2026-02-24T08:07:34.762Z</v>
      </c>
      <c r="B43" t="str">
        <v>EDIT ITEM</v>
      </c>
      <c r="C43" t="str">
        <v>LBL-RCSL24G_NS</v>
      </c>
      <c r="D43" t="str">
        <v>Qty: "7×48" -&gt; "7×48"</v>
      </c>
    </row>
    <row r="44">
      <c r="A44" t="str">
        <v>2026-02-24T08:07:23.386Z</v>
      </c>
      <c r="B44" t="str">
        <v>EDIT ITEM</v>
      </c>
      <c r="C44" t="str">
        <v>LBL-PFLB21G_NS</v>
      </c>
      <c r="D44" t="str">
        <v>Qty: "3×48 | 30 | 56" -&gt; "3×48 | 30 | 56"</v>
      </c>
    </row>
    <row r="45">
      <c r="A45" t="str">
        <v>2026-02-24T08:07:10.370Z</v>
      </c>
      <c r="B45" t="str">
        <v>EDIT ITEM</v>
      </c>
      <c r="C45" t="str">
        <v>LBL-OORXS5G-E_NS</v>
      </c>
      <c r="D45" t="str">
        <v>Qty: "6×96 | 91 l 64" -&gt; "6×96 | 91 | 64"</v>
      </c>
    </row>
    <row r="46">
      <c r="A46" t="str">
        <v>2026-02-24T08:06:59.898Z</v>
      </c>
      <c r="B46" t="str">
        <v>EDIT ITEM</v>
      </c>
      <c r="C46" t="str">
        <v>LBL-CRPUA85G8_NS</v>
      </c>
      <c r="D46" t="str">
        <v>Qty: "29×18" -&gt; "29×18"</v>
      </c>
    </row>
    <row r="47">
      <c r="A47" t="str">
        <v>2026-02-24T08:06:49.170Z</v>
      </c>
      <c r="B47" t="str">
        <v>EDIT ITEM</v>
      </c>
      <c r="C47" t="str">
        <v>LBL-COCL22G_NS</v>
      </c>
      <c r="D47" t="str">
        <v>Qty: "2×48 | 17" -&gt; "2×48 | 17"</v>
      </c>
    </row>
    <row r="48">
      <c r="A48" t="str">
        <v>2026-02-24T08:06:15.290Z</v>
      </c>
      <c r="B48" t="str">
        <v>EDIT ITEM</v>
      </c>
      <c r="C48" t="str">
        <v>BAG-A26.5X37.5PE</v>
      </c>
      <c r="D48" t="str">
        <v>Qty: "12×24000 | 300 | 9×24000 | 8600" -&gt; "12×24000 | 300 | 9×24000 | 8600"</v>
      </c>
    </row>
    <row r="49">
      <c r="A49" t="str">
        <v>2026-02-24T08:05:54.962Z</v>
      </c>
      <c r="B49" t="str">
        <v>EDIT ITEM</v>
      </c>
      <c r="C49" t="str">
        <v>BAG-B21.50X29PE</v>
      </c>
      <c r="D49" t="str">
        <v>Qty: "45×24000 | 20100 l 18000 l 3000" -&gt; "45×24000 | 20100 | 18000 | 3000"</v>
      </c>
    </row>
    <row r="50">
      <c r="A50" t="str">
        <v>2026-02-24T08:05:40.570Z</v>
      </c>
      <c r="B50" t="str">
        <v>EDIT ITEM</v>
      </c>
      <c r="C50" t="str">
        <v>BAG-A19.5X35PE</v>
      </c>
      <c r="D50" t="str">
        <v>Qty: "7×24000 | 9600 | 17×24000 | 9000" -&gt; "7×24000 | 9600 | 17×24000 | 9000"</v>
      </c>
    </row>
    <row r="51">
      <c r="A51" t="str">
        <v>2026-02-24T08:04:56.257Z</v>
      </c>
      <c r="B51" t="str">
        <v>PRINT</v>
      </c>
      <c r="C51" t="str">
        <v>-</v>
      </c>
      <c r="D51" t="str">
        <v>Inventory count sheet printed.</v>
      </c>
    </row>
    <row r="52">
      <c r="A52" t="str">
        <v>2026-02-24T08:04:40.866Z</v>
      </c>
      <c r="B52" t="str">
        <v>EDIT ITEM</v>
      </c>
      <c r="C52" t="str">
        <v>BAG-B18X30BPE</v>
      </c>
      <c r="D52" t="str">
        <v>Qty: "10×36000 | 27000 | 6×36000" -&gt; "10×36000 | 27000 | 6×36000"</v>
      </c>
    </row>
    <row r="53">
      <c r="A53" t="str">
        <v>2026-02-23T18:09:15.780Z</v>
      </c>
      <c r="B53" t="str">
        <v>PRINT</v>
      </c>
      <c r="C53" t="str">
        <v>-</v>
      </c>
      <c r="D53" t="str">
        <v>Inventory count sheet printed.</v>
      </c>
    </row>
    <row r="54">
      <c r="A54" t="str">
        <v>2026-02-23T18:09:07.210Z</v>
      </c>
      <c r="B54" t="str">
        <v>EXPORT REPORT</v>
      </c>
      <c r="C54" t="str">
        <v>-</v>
      </c>
      <c r="D54" t="str">
        <v>Human-readable report exported.</v>
      </c>
    </row>
    <row r="55">
      <c r="A55" t="str">
        <v>2026-02-23T18:08:51.619Z</v>
      </c>
      <c r="B55" t="str">
        <v>BACKUP</v>
      </c>
      <c r="C55" t="str">
        <v>-</v>
      </c>
      <c r="D55" t="str">
        <v>Full inventory state backed up.</v>
      </c>
    </row>
    <row r="56">
      <c r="A56" t="str">
        <v>2026-02-23T18:08:07.003Z</v>
      </c>
      <c r="B56" t="str">
        <v>EDIT ITEM</v>
      </c>
      <c r="C56" t="str">
        <v>LBL-RCSL24G_NS</v>
      </c>
      <c r="D56" t="str">
        <v>Qty: "3×48 | 4×48" -&gt; "7×48"</v>
      </c>
    </row>
    <row r="57">
      <c r="A57" t="str">
        <v>2026-02-23T18:07:40.291Z</v>
      </c>
      <c r="B57" t="str">
        <v>EDIT ITEM</v>
      </c>
      <c r="C57" t="str">
        <v>BAG-B21.50X29PE</v>
      </c>
      <c r="D57" t="str">
        <v>Qty: "46×24000 | 17100" -&gt; "45×24000 | 20100 l 18000 l 3000"</v>
      </c>
    </row>
    <row r="58">
      <c r="A58" t="str">
        <v>2026-02-23T18:07:09.587Z</v>
      </c>
      <c r="B58" t="str">
        <v>EDIT ITEM</v>
      </c>
      <c r="C58" t="str">
        <v>BAG-B18X30BPE</v>
      </c>
      <c r="D58" t="str">
        <v>Qty: "9×36000 | 27000 | 7×36000" -&gt; "10×36000 | 27000 | 6×36000"</v>
      </c>
    </row>
    <row r="59">
      <c r="A59" t="str">
        <v>2026-02-23T18:06:55.115Z</v>
      </c>
      <c r="B59" t="str">
        <v>EDIT ITEM</v>
      </c>
      <c r="C59" t="str">
        <v>BAG-B15.50X42PE</v>
      </c>
      <c r="D59" t="str">
        <v>Qty: "36000 | 32100 | 9×27000" -&gt; "36000 | 35100 | 9×27000 l 24000"</v>
      </c>
    </row>
    <row r="60">
      <c r="A60" t="str">
        <v>2026-02-23T18:06:22.323Z</v>
      </c>
      <c r="B60" t="str">
        <v>EDIT ITEM</v>
      </c>
      <c r="C60" t="str">
        <v>BAG-A26X45HD</v>
      </c>
      <c r="D60" t="str">
        <v>Qty: "2×19200 | 3×19200 | 16200 | 12600" -&gt; "2×19200 | 4×19200 | 9600"</v>
      </c>
    </row>
    <row r="61">
      <c r="A61" t="str">
        <v>2026-02-23T18:06:06.779Z</v>
      </c>
      <c r="B61" t="str">
        <v>EDIT ITEM</v>
      </c>
      <c r="C61" t="str">
        <v>BAG-A26.5X37.5PE</v>
      </c>
      <c r="D61" t="str">
        <v>Qty: "11×24000 | 21300 | 9×24000 | 11600" -&gt; "12×24000 | 300 | 9×24000 | 8600"</v>
      </c>
    </row>
    <row r="62">
      <c r="A62" t="str">
        <v>2026-02-23T18:05:33.275Z</v>
      </c>
      <c r="B62" t="str">
        <v>EDIT ITEM</v>
      </c>
      <c r="C62" t="str">
        <v>BAG-A25.5X32PE</v>
      </c>
      <c r="D62" t="str">
        <v>Qty: "13×24000 | 10200 | 12×24000 | 2×24000 | 14100" -&gt; "13×24000 | 7200 | 12×24000 | 2×24000 | 14100 l 3000"</v>
      </c>
    </row>
    <row r="63">
      <c r="A63" t="str">
        <v>2026-02-23T18:05:07.027Z</v>
      </c>
      <c r="B63" t="str">
        <v>EDIT ITEM</v>
      </c>
      <c r="C63" t="str">
        <v>BAG-A19.5X35PE</v>
      </c>
      <c r="D63" t="str">
        <v>Qty: "6×24000 | 3600 | 18×24000 | 15000" -&gt; "7×24000 | 9600 | 17×24000 | 9000"</v>
      </c>
    </row>
    <row r="64">
      <c r="A64" t="str">
        <v>2026-02-23T17:58:48.002Z</v>
      </c>
      <c r="B64" t="str">
        <v>EDIT ITEM</v>
      </c>
      <c r="C64" t="str">
        <v>LBL-SOPCL24G_NS</v>
      </c>
      <c r="D64" t="str">
        <v>Qty: "19×48 | 34 | 10×48" -&gt; "21×48 | 13 | 21"</v>
      </c>
    </row>
    <row r="65">
      <c r="A65" t="str">
        <v>2026-02-23T17:38:01.561Z</v>
      </c>
      <c r="B65" t="str">
        <v>PRINT</v>
      </c>
      <c r="C65" t="str">
        <v>-</v>
      </c>
      <c r="D65" t="str">
        <v>Inventory count sheet printed.</v>
      </c>
    </row>
    <row r="66">
      <c r="A66" t="str">
        <v>2026-02-23T17:11:19.031Z</v>
      </c>
      <c r="B66" t="str">
        <v>PRINT</v>
      </c>
      <c r="C66" t="str">
        <v>-</v>
      </c>
      <c r="D66" t="str">
        <v>Inventory count sheet printed.</v>
      </c>
    </row>
    <row r="67">
      <c r="A67" t="str">
        <v>2026-02-23T17:10:43.370Z</v>
      </c>
      <c r="B67" t="str">
        <v>BULK WITHDRAW</v>
      </c>
      <c r="C67" t="str">
        <v>24 items</v>
      </c>
      <c r="D67" t="str">
        <v>BAG-A19.5X35PE (-30,000), BAG-A22.50X39PE (-24,900), BAG-B21.50X29PE (-69,000), BAG-B23X29.53W/HO (-24,000), BAG-A23X42PE-G (-6,000), BAG-A25.5X32PE (-45,000), BAG-A26X45HD (-15,000), BAG-A26.5X37.5PE (-3,000), BAG-A27X37.50PE (-31,400), BAG-B15.50X42PE (-3,000), BAG-B18X30BPE (-39,000), BAG-B20.87X31.89FH (-20,100), BAG-B22.50X34PE (-26,400), LBL-CRPUA85G8_NS (-36), LBL-EHOPCF60G_NS (-38), LBL-EHOPCL24G_NS (-10), LBL-PFBM50G-H_NS (-18), LBL-PFCLB21G_NS (-48), LBL-PFKBM50G-H_NS (-22), LBL-PFLB21G_NS (-48), LBL-RCBM50G_NS (-5), LBL-RCL24G_NS (-36), LBL-SOPCF60GH_NS (-8), LBL-SOPCL24G_NS (-150)</v>
      </c>
    </row>
    <row r="68">
      <c r="A68" t="str">
        <v>2026-02-23T17:04:53.285Z</v>
      </c>
      <c r="B68" t="str">
        <v>DELIVERY (BULK)</v>
      </c>
      <c r="C68" t="str">
        <v>BAG-A22X30PEW/FLAP</v>
      </c>
      <c r="D68" t="str">
        <v>+39,000 pcs</v>
      </c>
    </row>
    <row r="69">
      <c r="A69" t="str">
        <v>2026-02-23T17:04:53.105Z</v>
      </c>
      <c r="B69" t="str">
        <v>DELIVERY (BULK)</v>
      </c>
      <c r="C69" t="str">
        <v>BAG-B23X29.53W/HO</v>
      </c>
      <c r="D69" t="str">
        <v>+96,000 pcs</v>
      </c>
    </row>
    <row r="70">
      <c r="A70" t="str">
        <v>2026-02-23T17:04:01.933Z</v>
      </c>
      <c r="B70" t="str">
        <v>DELIVERY (BULK)</v>
      </c>
      <c r="C70" t="str">
        <v>LBL-SOPCL24G_NS</v>
      </c>
      <c r="D70" t="str">
        <v>+480 pcs</v>
      </c>
    </row>
    <row r="71">
      <c r="A71" t="str">
        <v>2026-02-23T17:04:01.706Z</v>
      </c>
      <c r="B71" t="str">
        <v>DELIVERY (BULK)</v>
      </c>
      <c r="C71" t="str">
        <v>LBL-RCUA90G-8_NS</v>
      </c>
      <c r="D71" t="str">
        <v>+105 pcs</v>
      </c>
    </row>
    <row r="72">
      <c r="A72" t="str">
        <v>2026-02-23T17:04:01.474Z</v>
      </c>
      <c r="B72" t="str">
        <v>DELIVERY (BULK)</v>
      </c>
      <c r="C72" t="str">
        <v>LBL-RCSL24G_NS</v>
      </c>
      <c r="D72" t="str">
        <v>+192 pcs</v>
      </c>
    </row>
    <row r="73">
      <c r="A73" t="str">
        <v>2026-02-23T17:01:14.913Z</v>
      </c>
      <c r="B73" t="str">
        <v>RESTORE</v>
      </c>
      <c r="C73" t="str">
        <v>-</v>
      </c>
      <c r="D73" t="str">
        <v>Full inventory state restored from backup_02-23-26_6-00-PM_DS.xlsx.</v>
      </c>
    </row>
    <row r="74">
      <c r="A74" t="str">
        <v>2026-02-23T09:59:44.133Z</v>
      </c>
      <c r="B74" t="str">
        <v>PRINT</v>
      </c>
      <c r="C74" t="str">
        <v>-</v>
      </c>
      <c r="D74" t="str">
        <v>Inventory count sheet printed.</v>
      </c>
    </row>
    <row r="75">
      <c r="A75" t="str">
        <v>2026-02-23T09:59:22.795Z</v>
      </c>
      <c r="B75" t="str">
        <v>PRINT</v>
      </c>
      <c r="C75" t="str">
        <v>-</v>
      </c>
      <c r="D75" t="str">
        <v>Inventory count sheet printed.</v>
      </c>
    </row>
    <row r="76">
      <c r="A76" t="str">
        <v>2026-02-23T09:58:39.981Z</v>
      </c>
      <c r="B76" t="str">
        <v>EDIT ITEM</v>
      </c>
      <c r="C76" t="str">
        <v>LBL-SSCL24G_NS</v>
      </c>
      <c r="D76" t="str">
        <v>Qty: "38 | 48 | 6 | 4×48" -&gt; "5x48 | 13 | 31"</v>
      </c>
    </row>
    <row r="77">
      <c r="A77" t="str">
        <v>2026-02-23T09:58:00.568Z</v>
      </c>
      <c r="B77" t="str">
        <v>EDIT ITEM</v>
      </c>
      <c r="C77" t="str">
        <v>LBL-SOPCL24G_NS</v>
      </c>
      <c r="D77" t="str">
        <v>Qty: "15×48 | 7×48 | 40 | 8×48" -&gt; "21×48 | 48 | 21 | 19"</v>
      </c>
    </row>
    <row r="78">
      <c r="A78" t="str">
        <v>2026-02-23T09:57:15.508Z</v>
      </c>
      <c r="B78" t="str">
        <v>EDIT ITEM</v>
      </c>
      <c r="C78" t="str">
        <v>LBL-RCL24G_NS</v>
      </c>
      <c r="D78" t="str">
        <v>Qty: "6×48 | 24 | 8 | 15" -&gt; "6×48 | 17 | 30"</v>
      </c>
    </row>
    <row r="79">
      <c r="A79" t="str">
        <v>2026-02-23T09:56:44.434Z</v>
      </c>
      <c r="B79" t="str">
        <v>EDIT ITEM</v>
      </c>
      <c r="C79" t="str">
        <v>LBL-PFLB21G_NS</v>
      </c>
      <c r="D79" t="str">
        <v>Qty: "4×48 | 41 | 24" -&gt; "4×48 | 30 | 56"</v>
      </c>
    </row>
    <row r="80">
      <c r="A80" t="str">
        <v>2026-02-23T09:56:16.220Z</v>
      </c>
      <c r="B80" t="str">
        <v>EDIT ITEM</v>
      </c>
      <c r="C80" t="str">
        <v>LBL-PFCUA90G-8_NS</v>
      </c>
      <c r="D80" t="str">
        <v>Qty: "3×18 | 11×18 | 6" -&gt; "16×18 | 10"</v>
      </c>
    </row>
    <row r="81">
      <c r="A81" t="str">
        <v>2026-02-23T09:55:46.237Z</v>
      </c>
      <c r="B81" t="str">
        <v>EDIT ITEM</v>
      </c>
      <c r="C81" t="str">
        <v>LBL-PFCLB21G_NS</v>
      </c>
      <c r="D81" t="str">
        <v>Qty: "2×48 | 42 | 48 | 42 | 48 | 3×48 | 40" -&gt; "7×48 | 34"</v>
      </c>
    </row>
    <row r="82">
      <c r="A82" t="str">
        <v>2026-02-23T09:55:05.201Z</v>
      </c>
      <c r="B82" t="str">
        <v>EDIT ITEM</v>
      </c>
      <c r="C82" t="str">
        <v>LBL-OORXS5G-E_NS</v>
      </c>
      <c r="D82" t="str">
        <v>Qty: "7×96 | 83" -&gt; "6×96 | 91 l 64"</v>
      </c>
    </row>
    <row r="83">
      <c r="A83" t="str">
        <v>2026-02-23T09:54:29.811Z</v>
      </c>
      <c r="B83" t="str">
        <v>EDIT ITEM</v>
      </c>
      <c r="C83" t="str">
        <v>LBL-CRPUA85G8_NS</v>
      </c>
      <c r="D83" t="str">
        <v>Qty: "31×18 | 6" -&gt; "31×18 "</v>
      </c>
    </row>
    <row r="84">
      <c r="A84" t="str">
        <v>2026-02-23T09:54:20.573Z</v>
      </c>
      <c r="B84" t="str">
        <v>EDIT ITEM</v>
      </c>
      <c r="C84" t="str">
        <v>LBL-4XCH-UA85G</v>
      </c>
      <c r="D84" t="str">
        <v>Qty: "18 | 18 | 5" -&gt; "18 | 11 | 12"</v>
      </c>
    </row>
    <row r="85">
      <c r="A85" t="str">
        <v>2026-02-23T09:54:01.108Z</v>
      </c>
      <c r="B85" t="str">
        <v>EDIT ITEM</v>
      </c>
      <c r="C85" t="str">
        <v>BAG-B23X29.53W/HO</v>
      </c>
      <c r="D85" t="str">
        <v>Qty: "9×24000 | 13500 | 10200 | 15900 | 3×24000 | 22500" -&gt; "12×24000 | 13500 | 10200 | 15900 | 22500"</v>
      </c>
    </row>
    <row r="86">
      <c r="A86" t="str">
        <v>2026-02-23T09:53:40.969Z</v>
      </c>
      <c r="B86" t="str">
        <v>EDIT ITEM</v>
      </c>
      <c r="C86" t="str">
        <v>BAG-B22.50X34PE</v>
      </c>
      <c r="D86" t="str">
        <v>Qty: "7×24000 | 21900 | 11×24000" -&gt; "6×24000 | 26400 | 11×24000 l 19500"</v>
      </c>
    </row>
    <row r="87">
      <c r="A87" t="str">
        <v>2026-02-23T09:53:05.794Z</v>
      </c>
      <c r="B87" t="str">
        <v>EDIT ITEM</v>
      </c>
      <c r="C87" t="str">
        <v>BAG-B21.50X29PE</v>
      </c>
      <c r="D87" t="str">
        <v>Qty: "48×24000 | 20100 | 18000" -&gt; "48×24000 | 20100 | 18000"</v>
      </c>
    </row>
    <row r="88">
      <c r="A88" t="str">
        <v>2026-02-23T09:52:54.193Z</v>
      </c>
      <c r="B88" t="str">
        <v>EDIT ITEM</v>
      </c>
      <c r="C88" t="str">
        <v>BAG-B21.50X29PE</v>
      </c>
      <c r="D88" t="str">
        <v>Qty: "47×24000 | 20100 | 24000 | 18000" -&gt; "48×24000 | 20100 | 18000"</v>
      </c>
    </row>
    <row r="89">
      <c r="A89" t="str">
        <v>2026-02-23T09:52:28.092Z</v>
      </c>
      <c r="B89" t="str">
        <v>EDIT ITEM</v>
      </c>
      <c r="C89" t="str">
        <v>BAG-B20.87X31.89FH</v>
      </c>
      <c r="D89" t="str">
        <v>Qty: "5×24000 | 26400 | 24000 | 9000 | 16500 | 19500 | 19500 | 2×24000 | 4500" -&gt; "7×24000 | 26400 | 24000 | 9000 | 16500 | 19500 | 19500 | 4500"</v>
      </c>
    </row>
    <row r="90">
      <c r="A90" t="str">
        <v>2026-02-23T09:52:06.651Z</v>
      </c>
      <c r="B90" t="str">
        <v>EDIT ITEM</v>
      </c>
      <c r="C90" t="str">
        <v>BAG-B15.50X42PE</v>
      </c>
      <c r="D90" t="str">
        <v>Qty: "36000 | 35100 | 9×27000" -&gt; "36000 | 35100 | 9×27000"</v>
      </c>
    </row>
    <row r="91">
      <c r="A91" t="str">
        <v>2026-02-23T09:52:06.353Z</v>
      </c>
      <c r="B91" t="str">
        <v>EDIT ITEM</v>
      </c>
      <c r="C91" t="str">
        <v>BAG-B15.50X42PE</v>
      </c>
      <c r="D91" t="str">
        <v>Qty: "36000 | 8100 | 10×27000" -&gt; "36000 | 35100 | 9×27000"</v>
      </c>
    </row>
    <row r="92">
      <c r="A92" t="str">
        <v>2026-02-23T09:51:44.281Z</v>
      </c>
      <c r="B92" t="str">
        <v>EDIT ITEM</v>
      </c>
      <c r="C92" t="str">
        <v>BAG-A27X37.50PE</v>
      </c>
      <c r="D92" t="str">
        <v>Qty: "12×24000 | 24000 | 7500" -&gt; "12×24000 | 24000 | 7400"</v>
      </c>
    </row>
    <row r="93">
      <c r="A93" t="str">
        <v>2026-02-23T09:51:32.377Z</v>
      </c>
      <c r="B93" t="str">
        <v>EDIT ITEM</v>
      </c>
      <c r="C93" t="str">
        <v>BAG-A26X45HD</v>
      </c>
      <c r="D93" t="str">
        <v>Qty: "2×19200 | 12000 | 2×19200 | 2×19200 | 12600" -&gt; "2×19200 | 12000 | 4×19200 | 12600"</v>
      </c>
    </row>
    <row r="94">
      <c r="A94" t="str">
        <v>2026-02-23T09:51:17.222Z</v>
      </c>
      <c r="B94" t="str">
        <v>EDIT ITEM</v>
      </c>
      <c r="C94" t="str">
        <v>BAG-A25.5X32PE</v>
      </c>
      <c r="D94" t="str">
        <v>Qty: "14×24000 | 7200 | 13×24000 | 2×24000 | 14100" -&gt; "15×24000 | 7200 | 12×24000 | 2×24000 | 14100"</v>
      </c>
    </row>
    <row r="95">
      <c r="A95" t="str">
        <v>2026-02-23T09:00:50.646Z</v>
      </c>
      <c r="B95" t="str">
        <v>PRINT</v>
      </c>
      <c r="C95" t="str">
        <v>-</v>
      </c>
      <c r="D95" t="str">
        <v>Inventory count sheet printed.</v>
      </c>
    </row>
    <row r="96">
      <c r="A96" t="str">
        <v>2026-02-23T09:00:26.159Z</v>
      </c>
      <c r="B96" t="str">
        <v>BULK WITHDRAW</v>
      </c>
      <c r="C96" t="str">
        <v>20 items</v>
      </c>
      <c r="D96" t="str">
        <v>BAG-A26X32.50PE (-24,000), BAG-A25.5X32PE (-24,000), LBL-COCL22G_NS (-96), LBL-CRPUA85G8_NS (-18), LBL-EHOPCL24G_NS (-58), LBL-SKYFL20G_NS (-5), LBL-KYFUA60G8_NS (-3), LBL-OFKLF22G_NS (-10), LBL-OORUA75G (-18), LBL-OORXS5G-E_NS (-16), LBL-OSHKLK20G (-10), LBL-PFUA90G-8_NS (-5), LBL-PFCLB21G_NS (-96), LBL-PFCUA90G-8_NS (-63), LBL-PFKBM50G-H_NS (-10), LBL-PFLB21G_NS (-96), LBL-RCSUA85G8_NS (-10), LBL-RCUA90G-8_NS (-18), LBL-SOPCL24G_NS (-240), LBL-OFCL24G-VL-ND (-432)</v>
      </c>
    </row>
    <row r="97">
      <c r="A97" t="str">
        <v>2026-02-23T08:55:21.032Z</v>
      </c>
      <c r="B97" t="str">
        <v>BULK WITHDRAW</v>
      </c>
      <c r="C97" t="str">
        <v>8 items</v>
      </c>
      <c r="D97" t="str">
        <v>BAG-B21.50X29PE (-24,000), BAG-A26X32.50PE (-24,000), LBL-4XSWCL24G (-26), LBL-EHOPCL24G_NS (-64), LBL-PFBM50G-H_NS (-45), LBL-PFLB21G_NS (-40), LBL-RCL24G_NS (-24), LBL-RCUA90G-8_NS (-18)</v>
      </c>
    </row>
    <row r="98">
      <c r="A98" t="str">
        <v>2026-02-23T08:53:28.006Z</v>
      </c>
      <c r="B98" t="str">
        <v>BULK WITHDRAW</v>
      </c>
      <c r="C98" t="str">
        <v>10 items</v>
      </c>
      <c r="D98" t="str">
        <v>BAG-A19.5X35PE (-24,000), BAG-B21.50X29PE (-24,000), BAG-A27X37.50PE (-10,800), BAG-B15.50X42PE (-27,000), BAG-B17.5X34PE (-30,000), BAG-B22.50X34PE (-21,600), LBL-4XCH-UA85G (-18), LBL-PFBM50G-H_NS (-27), LBL-PFLB21G_NS (-96), LBL-SSCL24G_NS (-36)</v>
      </c>
    </row>
    <row r="99">
      <c r="A99" t="str">
        <v>2026-02-23T08:51:42.613Z</v>
      </c>
      <c r="B99" t="str">
        <v>BULK WITHDRAW</v>
      </c>
      <c r="C99" t="str">
        <v>9 items</v>
      </c>
      <c r="D99" t="str">
        <v>BAG-B21.50X29PE (-24,000), BAG-A26X32.50PE (-24,000), LBL-OORXS5G-E_NS (-20), LBL-PFKLB21G_NS (-36), LBL-PSNKFB60G_NS (-38), LBL-PSNKLS28G_NS (-54), LBL-RCL24G_NS (-48), LBL-RCUA90G-8_NS (-36), LBL-SSCL24G_NS (-48)</v>
      </c>
    </row>
    <row r="100">
      <c r="A100" t="str">
        <v>2026-02-23T08:47:54.258Z</v>
      </c>
      <c r="B100" t="str">
        <v>DELIVERY (BULK)</v>
      </c>
      <c r="C100" t="str">
        <v>LBL-SOPCL24G_NS</v>
      </c>
      <c r="D100" t="str">
        <v>+384 pcs</v>
      </c>
    </row>
    <row r="101">
      <c r="A101" t="str">
        <v>2026-02-23T08:47:54.093Z</v>
      </c>
      <c r="B101" t="str">
        <v>DELIVERY (BULK)</v>
      </c>
      <c r="C101" t="str">
        <v>LBL-PFCLB21G_NS</v>
      </c>
      <c r="D101" t="str">
        <v>+184 pcs</v>
      </c>
    </row>
    <row r="102">
      <c r="A102" t="str">
        <v>2026-02-23T08:47:53.912Z</v>
      </c>
      <c r="B102" t="str">
        <v>DELIVERY (BULK)</v>
      </c>
      <c r="C102" t="str">
        <v>LBL-SSCL24G_NS</v>
      </c>
      <c r="D102" t="str">
        <v>+223 pcs</v>
      </c>
    </row>
    <row r="103">
      <c r="A103" t="str">
        <v>2026-02-23T08:47:53.723Z</v>
      </c>
      <c r="B103" t="str">
        <v>DELIVERY (BULK)</v>
      </c>
      <c r="C103" t="str">
        <v>LBL-RCSL24G_NS</v>
      </c>
      <c r="D103" t="str">
        <v>+144 pcs</v>
      </c>
    </row>
    <row r="104">
      <c r="A104" t="str">
        <v>2026-02-23T08:47:53.510Z</v>
      </c>
      <c r="B104" t="str">
        <v>DELIVERY (BULK)</v>
      </c>
      <c r="C104" t="str">
        <v>LBL-PFCLB21G_NS</v>
      </c>
      <c r="D104" t="str">
        <v>+48 pcs</v>
      </c>
    </row>
    <row r="105">
      <c r="A105" t="str">
        <v>2026-02-23T08:47:53.242Z</v>
      </c>
      <c r="B105" t="str">
        <v>DELIVERY (BULK)</v>
      </c>
      <c r="C105" t="str">
        <v>LBL-RCL24G_NS</v>
      </c>
      <c r="D105" t="str">
        <v>+15 pcs</v>
      </c>
    </row>
    <row r="106">
      <c r="A106" t="str">
        <v>2026-02-23T08:47:53.020Z</v>
      </c>
      <c r="B106" t="str">
        <v>DELIVERY (BULK)</v>
      </c>
      <c r="C106" t="str">
        <v>LBL-SOPCL24G_NS</v>
      </c>
      <c r="D106" t="str">
        <v>+384 pcs</v>
      </c>
    </row>
    <row r="107">
      <c r="A107" t="str">
        <v>2026-02-23T08:47:52.797Z</v>
      </c>
      <c r="B107" t="str">
        <v>DELIVERY (BULK)</v>
      </c>
      <c r="C107" t="str">
        <v>LBL-PFCLB21G_NS</v>
      </c>
      <c r="D107" t="str">
        <v>+90 pcs</v>
      </c>
    </row>
    <row r="108">
      <c r="A108" t="str">
        <v>2026-02-23T08:43:37.285Z</v>
      </c>
      <c r="B108" t="str">
        <v>DELIVERY (BULK)</v>
      </c>
      <c r="C108" t="str">
        <v>BAG-B23X29.53W/HO</v>
      </c>
      <c r="D108" t="str">
        <v>+94,500 pcs</v>
      </c>
    </row>
    <row r="109">
      <c r="A109" t="str">
        <v>2026-02-23T08:43:37.105Z</v>
      </c>
      <c r="B109" t="str">
        <v>DELIVERY (BULK)</v>
      </c>
      <c r="C109" t="str">
        <v>BAG-B21.50X29PE</v>
      </c>
      <c r="D109" t="str">
        <v>+42,000 pcs</v>
      </c>
    </row>
    <row r="110">
      <c r="A110" t="str">
        <v>2026-02-23T08:43:36.945Z</v>
      </c>
      <c r="B110" t="str">
        <v>DELIVERY (BULK)</v>
      </c>
      <c r="C110" t="str">
        <v>BAG-B20.87X31.89FH</v>
      </c>
      <c r="D110" t="str">
        <v>+52,500 pcs</v>
      </c>
    </row>
    <row r="111">
      <c r="A111" t="str">
        <v>2026-02-23T08:43:36.762Z</v>
      </c>
      <c r="B111" t="str">
        <v>DELIVERY (BULK)</v>
      </c>
      <c r="C111" t="str">
        <v>BAG-A26X45HD</v>
      </c>
      <c r="D111" t="str">
        <v>+51,000 pcs</v>
      </c>
    </row>
    <row r="112">
      <c r="A112" t="str">
        <v>2026-02-23T08:36:58.964Z</v>
      </c>
      <c r="B112" t="str">
        <v>RESTORE</v>
      </c>
      <c r="C112" t="str">
        <v>-</v>
      </c>
      <c r="D112" t="str">
        <v>Full inventory state restored from backup_02-21-26_3-34-PM_DS.xlsx.</v>
      </c>
    </row>
    <row r="113">
      <c r="A113" t="str">
        <v>2026-02-21T08:34:31.709Z</v>
      </c>
      <c r="B113" t="str">
        <v>EDIT ITEM</v>
      </c>
      <c r="C113" t="str">
        <v>LBL-SSCL24G_NS</v>
      </c>
      <c r="D113" t="str">
        <v>Qty: "48 | 1 | 2×48" -&gt; "11 | 38 | 2×48"</v>
      </c>
    </row>
    <row r="114">
      <c r="A114" t="str">
        <v>2026-02-21T08:34:18.245Z</v>
      </c>
      <c r="B114" t="str">
        <v>EDIT ITEM</v>
      </c>
      <c r="C114" t="str">
        <v>LBL-SOPCL24G_NS</v>
      </c>
      <c r="D114" t="str">
        <v>Qty: "11×48 | 19 | 21 | 8×48" -&gt; "4×48 | 19 | 21 | 15×48"</v>
      </c>
    </row>
    <row r="115">
      <c r="A115" t="str">
        <v>2026-02-21T08:33:57.181Z</v>
      </c>
      <c r="B115" t="str">
        <v>EDIT ITEM</v>
      </c>
      <c r="C115" t="str">
        <v>LBL-PFCLB21G_NS</v>
      </c>
      <c r="D115" t="str">
        <v>Qty: "3×48 | 1×48 | 42" -&gt; "4×48 | 42"</v>
      </c>
    </row>
    <row r="116">
      <c r="A116" t="str">
        <v>2026-02-21T08:33:32.539Z</v>
      </c>
      <c r="B116" t="str">
        <v>DELIVERY (BULK)</v>
      </c>
      <c r="C116" t="str">
        <v>LBL-SSCL24G_NS</v>
      </c>
      <c r="D116" t="str">
        <v>+96 pcs</v>
      </c>
    </row>
    <row r="117">
      <c r="A117" t="str">
        <v>2026-02-21T07:38:32.988Z</v>
      </c>
      <c r="B117" t="str">
        <v>PRINT</v>
      </c>
      <c r="C117" t="str">
        <v>-</v>
      </c>
      <c r="D117" t="str">
        <v>Inventory count sheet printed.</v>
      </c>
    </row>
    <row r="118">
      <c r="A118" t="str">
        <v>2026-02-21T07:37:46.597Z</v>
      </c>
      <c r="B118" t="str">
        <v>BULK WITHDRAW</v>
      </c>
      <c r="C118" t="str">
        <v>6 items</v>
      </c>
      <c r="D118" t="str">
        <v>BAG-A23X42PE-G (-19,200), BAG-B15.50X23PE (-44,700), LBL-PTCBQJA85G_NS (-18), LBL-PTCTAJA85G_NS (-23), LBL-RCL24G_NS (-48), LBL-SSCL24G_NS (-48)</v>
      </c>
    </row>
    <row r="119">
      <c r="A119" t="str">
        <v>2026-02-21T07:36:06.597Z</v>
      </c>
      <c r="B119" t="str">
        <v>DELIVERY (BULK)</v>
      </c>
      <c r="C119" t="str">
        <v>LBL-PFCLB21G_NS</v>
      </c>
      <c r="D119" t="str">
        <v>+90 pcs</v>
      </c>
    </row>
    <row r="120">
      <c r="A120" t="str">
        <v>2026-02-21T07:36:06.413Z</v>
      </c>
      <c r="B120" t="str">
        <v>DELIVERY (BULK)</v>
      </c>
      <c r="C120" t="str">
        <v>LBL-SOPCL24G_NS</v>
      </c>
      <c r="D120" t="str">
        <v>+384 pcs</v>
      </c>
    </row>
    <row r="121">
      <c r="A121" t="str">
        <v>2026-02-20T21:58:20.908Z</v>
      </c>
      <c r="B121" t="str">
        <v>PRINT</v>
      </c>
      <c r="C121" t="str">
        <v>-</v>
      </c>
      <c r="D121" t="str">
        <v>Inventory count sheet printed.</v>
      </c>
    </row>
    <row r="122">
      <c r="A122" t="str">
        <v>2026-02-20T21:58:00.978Z</v>
      </c>
      <c r="B122" t="str">
        <v>EXPORT REPORT</v>
      </c>
      <c r="C122" t="str">
        <v>-</v>
      </c>
      <c r="D122" t="str">
        <v>Human-readable report exported.</v>
      </c>
    </row>
    <row r="123">
      <c r="A123" t="str">
        <v>2026-02-20T21:57:57.431Z</v>
      </c>
      <c r="B123" t="str">
        <v>BACKUP</v>
      </c>
      <c r="C123" t="str">
        <v>-</v>
      </c>
      <c r="D123" t="str">
        <v>Full inventory state backed up.</v>
      </c>
    </row>
    <row r="124">
      <c r="A124" t="str">
        <v>2026-02-20T21:57:46.273Z</v>
      </c>
      <c r="B124" t="str">
        <v>BACKUP</v>
      </c>
      <c r="C124" t="str">
        <v>-</v>
      </c>
      <c r="D124" t="str">
        <v>Full inventory state backed up.</v>
      </c>
    </row>
    <row r="125">
      <c r="A125" t="str">
        <v>2026-02-20T21:57:25.900Z</v>
      </c>
      <c r="B125" t="str">
        <v>EDIT ITEM</v>
      </c>
      <c r="C125" t="str">
        <v>LBL-SSCL24G_NS</v>
      </c>
      <c r="D125" t="str">
        <v>Qty: "11" -&gt; "11 l 48 l 38"</v>
      </c>
    </row>
    <row r="126">
      <c r="A126" t="str">
        <v>2026-02-20T21:53:18.827Z</v>
      </c>
      <c r="B126" t="str">
        <v>EDIT ITEM</v>
      </c>
      <c r="C126" t="str">
        <v>LBL-SOPCL24G_NS</v>
      </c>
      <c r="D126" t="str">
        <v>Qty: "2×48 | 19 | 8×48 | 1×48 | 21" -&gt; "11×48 | 19 | 21"</v>
      </c>
    </row>
    <row r="127">
      <c r="A127" t="str">
        <v>2026-02-20T21:52:44.771Z</v>
      </c>
      <c r="B127" t="str">
        <v>EDIT ITEM</v>
      </c>
      <c r="C127" t="str">
        <v>BAG-B23X29.53W/HO</v>
      </c>
      <c r="D127" t="str">
        <v>Qty: "7×24000 | 13500 | 10200 | 2×24000 | 15900" -&gt; "9×24000 | 13500 | 10200 | 15900"</v>
      </c>
    </row>
    <row r="128">
      <c r="A128" t="str">
        <v>2026-02-20T21:52:19.651Z</v>
      </c>
      <c r="B128" t="str">
        <v>EDIT ITEM</v>
      </c>
      <c r="C128" t="str">
        <v>BAG-B21.50X29PE</v>
      </c>
      <c r="D128" t="str">
        <v>Qty: "49×24000 | 6900 | 10500 | 14400 | 12300" -&gt; "50×24000 | 20100"</v>
      </c>
    </row>
    <row r="129">
      <c r="A129" t="str">
        <v>2026-02-20T21:52:04.115Z</v>
      </c>
      <c r="B129" t="str">
        <v>EDIT ITEM</v>
      </c>
      <c r="C129" t="str">
        <v>BAG-B20.87X31.89FH</v>
      </c>
      <c r="D129" t="str">
        <v>Qty: "5×24000 | 26400 | 24000 | 3000 | 16500 | 19500 | 19500" -&gt; "5×24000 | 26400 | 24000 | 9000 | 16500 | 19500 | 19500"</v>
      </c>
    </row>
    <row r="130">
      <c r="A130" t="str">
        <v>2026-02-20T21:51:46.877Z</v>
      </c>
      <c r="B130" t="str">
        <v>EDIT ITEM</v>
      </c>
      <c r="C130" t="str">
        <v>BAG-A27X37.50PE</v>
      </c>
      <c r="D130" t="str">
        <v>Qty: "12×24000 | 5900 | 16800 | 12300 | 3000 | 4200" -&gt; "12×24000 | 24000 | 18300"</v>
      </c>
    </row>
    <row r="131">
      <c r="A131" t="str">
        <v>2026-02-20T21:51:20.139Z</v>
      </c>
      <c r="B131" t="str">
        <v>EDIT ITEM</v>
      </c>
      <c r="C131" t="str">
        <v>BAG-A26X32.50PE</v>
      </c>
      <c r="D131" t="str">
        <v>Qty: "12×24000 | 4600 | 8×24000 | 12000 | 3000" -&gt; "12×24000 | 7600 | 8×24000 | 12000 "</v>
      </c>
    </row>
    <row r="132">
      <c r="A132" t="str">
        <v>2026-02-20T21:50:53.171Z</v>
      </c>
      <c r="B132" t="str">
        <v>EDIT ITEM</v>
      </c>
      <c r="C132" t="str">
        <v>BAG-A25.5X32PE</v>
      </c>
      <c r="D132" t="str">
        <v>Qty: "14×24000 | 3300 | 12×24000 | 14400 | 10200 | 12900 | 14400 | 2×24000 | 14100" -&gt; "15×24000 | 7200 | 13×24000 |  2×24000 | 14100"</v>
      </c>
    </row>
    <row r="133">
      <c r="A133" t="str">
        <v>2026-02-20T21:49:55.723Z</v>
      </c>
      <c r="B133" t="str">
        <v>EDIT ITEM</v>
      </c>
      <c r="C133" t="str">
        <v>BAG-A22X30PEW/FLAP</v>
      </c>
      <c r="D133" t="str">
        <v>Qty: "3×24000 | 12600 | 9600 | 2×24000 | 16800 | 2×24000 | 5700" -&gt; "3×24000 | 12600 | 9600 | 4×24000 | 16800 | 5700"</v>
      </c>
    </row>
    <row r="134">
      <c r="A134" t="str">
        <v>2026-02-20T21:13:46.102Z</v>
      </c>
      <c r="B134" t="str">
        <v>PRINT</v>
      </c>
      <c r="C134" t="str">
        <v>-</v>
      </c>
      <c r="D134" t="str">
        <v>Inventory count sheet printed.</v>
      </c>
    </row>
    <row r="135">
      <c r="A135" t="str">
        <v>2026-02-20T21:12:03.835Z</v>
      </c>
      <c r="B135" t="str">
        <v>BULK WITHDRAW</v>
      </c>
      <c r="C135" t="str">
        <v>6 items</v>
      </c>
      <c r="D135" t="str">
        <v>BAG-B21.50X29PE (-24,000), BAG-B23X29.53W/HO (-24,000), BAG-A26.5X37.5PE (-24,000), LBL-4XBQL24G_NS (-24), LBL-PFKLB21G_NS (-48), LBL-RCUA90G-8_NS (-36)</v>
      </c>
    </row>
    <row r="136">
      <c r="A136" t="str">
        <v>2026-02-20T21:10:48.623Z</v>
      </c>
      <c r="B136" t="str">
        <v>DELIVERY (BULK)</v>
      </c>
      <c r="C136" t="str">
        <v>LBL-SOPCL24G_NS</v>
      </c>
      <c r="D136" t="str">
        <v>+69 pcs</v>
      </c>
    </row>
    <row r="137">
      <c r="A137" t="str">
        <v>2026-02-20T21:10:48.411Z</v>
      </c>
      <c r="B137" t="str">
        <v>DELIVERY (BULK)</v>
      </c>
      <c r="C137" t="str">
        <v>LBL-PFCLB21G_NS</v>
      </c>
      <c r="D137" t="str">
        <v>+144 pcs</v>
      </c>
    </row>
    <row r="138">
      <c r="A138" t="str">
        <v>2026-02-20T21:10:48.212Z</v>
      </c>
      <c r="B138" t="str">
        <v>DELIVERY (BULK)</v>
      </c>
      <c r="C138" t="str">
        <v>LBL-SOPCL24G_NS</v>
      </c>
      <c r="D138" t="str">
        <v>+384 pcs</v>
      </c>
    </row>
    <row r="139">
      <c r="A139" t="str">
        <v>2026-02-20T10:37:48.851Z</v>
      </c>
      <c r="B139" t="str">
        <v>PRINT</v>
      </c>
      <c r="C139" t="str">
        <v>-</v>
      </c>
      <c r="D139" t="str">
        <v>Inventory count sheet printed.</v>
      </c>
    </row>
    <row r="140">
      <c r="A140" t="str">
        <v>2026-02-20T10:37:41.310Z</v>
      </c>
      <c r="B140" t="str">
        <v>PRINT</v>
      </c>
      <c r="C140" t="str">
        <v>-</v>
      </c>
      <c r="D140" t="str">
        <v>Inventory count sheet printed.</v>
      </c>
    </row>
    <row r="141">
      <c r="A141" t="str">
        <v>2026-02-20T10:33:34.719Z</v>
      </c>
      <c r="B141" t="str">
        <v>DELIVERY (BULK)</v>
      </c>
      <c r="C141" t="str">
        <v>BAG-B23X29.53W/HO</v>
      </c>
      <c r="D141" t="str">
        <v>+63,900 pcs</v>
      </c>
    </row>
    <row r="142">
      <c r="A142" t="str">
        <v>2026-02-20T10:33:34.545Z</v>
      </c>
      <c r="B142" t="str">
        <v>DELIVERY (BULK)</v>
      </c>
      <c r="C142" t="str">
        <v>BAG-A22X30PEW/FLAP</v>
      </c>
      <c r="D142" t="str">
        <v>+53,700 pcs</v>
      </c>
    </row>
    <row r="143">
      <c r="A143" t="str">
        <v>2026-02-20T10:33:34.310Z</v>
      </c>
      <c r="B143" t="str">
        <v>DELIVERY (BULK)</v>
      </c>
      <c r="C143" t="str">
        <v>BAG-B20.87X31.89FH</v>
      </c>
      <c r="D143" t="str">
        <v>+19,500 pcs</v>
      </c>
    </row>
    <row r="144">
      <c r="A144" t="str">
        <v>2026-02-20T10:33:34.061Z</v>
      </c>
      <c r="B144" t="str">
        <v>DELIVERY (BULK)</v>
      </c>
      <c r="C144" t="str">
        <v>BAG-A25.5X32PE</v>
      </c>
      <c r="D144" t="str">
        <v>+62,100 pcs</v>
      </c>
    </row>
    <row r="145">
      <c r="A145" t="str">
        <v>2026-02-20T10:30:11.663Z</v>
      </c>
      <c r="B145" t="str">
        <v>EDIT ITEM</v>
      </c>
      <c r="C145" t="str">
        <v>LBL-RCSUA85G8_NS</v>
      </c>
      <c r="D145" t="str">
        <v>Qty: "8×18 | 8" -&gt; "6×18 | 8"</v>
      </c>
    </row>
    <row r="146">
      <c r="A146" t="str">
        <v>2026-02-20T10:29:30.039Z</v>
      </c>
      <c r="B146" t="str">
        <v>EDIT ITEM</v>
      </c>
      <c r="C146" t="str">
        <v>LBL-RCL24G_NS</v>
      </c>
      <c r="D146" t="str">
        <v>Qty: "48 | 23 | 7×48 | 28 | 5" -&gt; "48 | 23 | 7×48 | 33"</v>
      </c>
    </row>
    <row r="147">
      <c r="A147" t="str">
        <v>2026-02-20T10:29:09.815Z</v>
      </c>
      <c r="B147" t="str">
        <v>EDIT ITEM</v>
      </c>
      <c r="C147" t="str">
        <v>LBL-OORUA75G</v>
      </c>
      <c r="D147" t="str">
        <v>Qty: "4×18 | 6×18 | 16" -&gt; "10×18 | 16"</v>
      </c>
    </row>
    <row r="148">
      <c r="A148" t="str">
        <v>2026-02-20T10:28:59.583Z</v>
      </c>
      <c r="B148" t="str">
        <v>EDIT ITEM</v>
      </c>
      <c r="C148" t="str">
        <v>LBL-CRPUA85G8_NS</v>
      </c>
      <c r="D148" t="str">
        <v>Qty: "29×18 | 17 | 2×18 | 7" -&gt; "32×18 | 6"</v>
      </c>
    </row>
    <row r="149">
      <c r="A149" t="str">
        <v>2026-02-20T10:28:34.888Z</v>
      </c>
      <c r="B149" t="str">
        <v>EDIT ITEM</v>
      </c>
      <c r="C149" t="str">
        <v>BAG-B23X29.53W/HO</v>
      </c>
      <c r="D149" t="str">
        <v>Qty: "24000 | 3×24000 | 13500 | 4×24000 | 10200" -&gt; "8x24000 | 13500 | 10200"</v>
      </c>
    </row>
    <row r="150">
      <c r="A150" t="str">
        <v>2026-02-20T10:27:50.263Z</v>
      </c>
      <c r="B150" t="str">
        <v>EDIT ITEM</v>
      </c>
      <c r="C150" t="str">
        <v>BAG-B21.50X29PE</v>
      </c>
      <c r="D150" t="str">
        <v>Qty: "40×24000 | 19200 | 24000 | 10500 | 9×24000 | 14400" -&gt; "50×24000 | 6900 | 10500 | 14400 | 12300"</v>
      </c>
    </row>
    <row r="151">
      <c r="A151" t="str">
        <v>2026-02-20T10:26:55.623Z</v>
      </c>
      <c r="B151" t="str">
        <v>EDIT ITEM</v>
      </c>
      <c r="C151" t="str">
        <v>BAG-B18X30BPE</v>
      </c>
      <c r="D151" t="str">
        <v>Qty: "10×36000 | 12000 | 18000 | 17×36000" -&gt; "10×36000 | 3000 | 27000 | 7×36000"</v>
      </c>
    </row>
    <row r="152">
      <c r="A152" t="str">
        <v>2026-02-20T10:26:20.319Z</v>
      </c>
      <c r="B152" t="str">
        <v>EDIT ITEM</v>
      </c>
      <c r="C152" t="str">
        <v>BAG-B15.50X42PE</v>
      </c>
      <c r="D152" t="str">
        <v>Qty: "36000 | 24300 | 10800 | 10×27000" -&gt; "36000 | 35100 | 10×27000"</v>
      </c>
    </row>
    <row r="153">
      <c r="A153" t="str">
        <v>2026-02-20T10:26:01.623Z</v>
      </c>
      <c r="B153" t="str">
        <v>EDIT ITEM</v>
      </c>
      <c r="C153" t="str">
        <v>BAG-B15.50X23PE</v>
      </c>
      <c r="D153" t="str">
        <v>Qty: "3×36000 | 11700 | 16200 | 7800" -&gt; "3×36000 | 8700"</v>
      </c>
    </row>
    <row r="154">
      <c r="A154" t="str">
        <v>2026-02-20T10:25:44.159Z</v>
      </c>
      <c r="B154" t="str">
        <v>EDIT ITEM</v>
      </c>
      <c r="C154" t="str">
        <v>BAG-A27X37.50PE</v>
      </c>
      <c r="D154" t="str">
        <v>Qty: "7×24000 | 15900 | 16800 | 12300 | 3000 | 5×24000 | 4200" -&gt; "12×24000 | 5900 | 16800 | 12300 | 3000 | 4200"</v>
      </c>
    </row>
    <row r="155">
      <c r="A155" t="str">
        <v>2026-02-20T10:25:11.503Z</v>
      </c>
      <c r="B155" t="str">
        <v>EDIT ITEM</v>
      </c>
      <c r="C155" t="str">
        <v>BAG-A26X32.50PE</v>
      </c>
      <c r="D155" t="str">
        <v>Qty: "2×24000 | 4600 | 10×24000 | 8×24000 | 12000 | 3000" -&gt; "12×24000 | 4600 | 8×24000 | 12000 | 3000"</v>
      </c>
    </row>
    <row r="156">
      <c r="A156" t="str">
        <v>2026-02-20T10:24:39.903Z</v>
      </c>
      <c r="B156" t="str">
        <v>EDIT ITEM</v>
      </c>
      <c r="C156" t="str">
        <v>BAG-A26.5X37.5PE</v>
      </c>
      <c r="D156" t="str">
        <v>Qty: "13×24000 | 300 | 6×24000 | 3×24000 | 11600" -&gt; "13×24000 | 300 | 9×24000 | 11600"</v>
      </c>
    </row>
    <row r="157">
      <c r="A157" t="str">
        <v>2026-02-20T10:24:17.791Z</v>
      </c>
      <c r="B157" t="str">
        <v>EDIT ITEM</v>
      </c>
      <c r="C157" t="str">
        <v>BAG-A25.5X32PE</v>
      </c>
      <c r="D157" t="str">
        <v>Qty: "10×24000 | 3300 | 12×24000 | 14400 | 2700 | 4×24000 | 10200 | 10×24000 | 300" -&gt; "14×24000 | 3300 | 12×24000 | 14400 | 10200 | 12900 | 14400"</v>
      </c>
    </row>
    <row r="158">
      <c r="A158" t="str">
        <v>2026-02-20T10:23:11.062Z</v>
      </c>
      <c r="B158" t="str">
        <v>EDIT ITEM</v>
      </c>
      <c r="C158" t="str">
        <v>BAG-A23X42PE-G</v>
      </c>
      <c r="D158" t="str">
        <v>Qty: "12×19200 | 10200" -&gt; "12×19200 | 9600"</v>
      </c>
    </row>
    <row r="159">
      <c r="A159" t="str">
        <v>2026-02-20T10:22:57.839Z</v>
      </c>
      <c r="B159" t="str">
        <v>EDIT ITEM</v>
      </c>
      <c r="C159" t="str">
        <v>BAG-A19.5X35PE</v>
      </c>
      <c r="D159" t="str">
        <v>Qty: "8×24000 | 9300 | 12×24000 | 6×24000 | 15000" -&gt; "8×24000 | 9600 | 18×24000 | 15000"</v>
      </c>
    </row>
    <row r="160">
      <c r="A160" t="str">
        <v>2026-02-19T22:06:13.825Z</v>
      </c>
      <c r="B160" t="str">
        <v>PRINT</v>
      </c>
      <c r="C160" t="str">
        <v>-</v>
      </c>
      <c r="D160" t="str">
        <v>Inventory count sheet printed.</v>
      </c>
    </row>
    <row r="161">
      <c r="A161" t="str">
        <v>2026-02-19T22:05:29.890Z</v>
      </c>
      <c r="B161" t="str">
        <v>PRINT</v>
      </c>
      <c r="C161" t="str">
        <v>-</v>
      </c>
      <c r="D161" t="str">
        <v>Inventory count sheet printed.</v>
      </c>
    </row>
    <row r="162">
      <c r="A162" t="str">
        <v>2026-02-19T22:01:12.113Z</v>
      </c>
      <c r="B162" t="str">
        <v>EDIT ITEM</v>
      </c>
      <c r="C162" t="str">
        <v>BAG-A19.50X40.50</v>
      </c>
      <c r="D162" t="str">
        <v>Qty: "7X24000" -&gt; "7×24000"</v>
      </c>
    </row>
    <row r="163">
      <c r="A163" t="str">
        <v>2026-02-19T22:00:41.897Z</v>
      </c>
      <c r="B163" t="str">
        <v>PRINT</v>
      </c>
      <c r="C163" t="str">
        <v>-</v>
      </c>
      <c r="D163" t="str">
        <v>Inventory count sheet printed.</v>
      </c>
    </row>
    <row r="164">
      <c r="A164" t="str">
        <v>2026-02-19T22:00:30.129Z</v>
      </c>
      <c r="B164" t="str">
        <v>EDIT ITEM</v>
      </c>
      <c r="C164" t="str">
        <v>BAG-A19.50X40.50</v>
      </c>
      <c r="D164" t="str">
        <v>Qty: "7x24000" -&gt; "7X24000"</v>
      </c>
    </row>
    <row r="165">
      <c r="A165" t="str">
        <v>2026-02-19T22:00:22.817Z</v>
      </c>
      <c r="B165" t="str">
        <v>EDIT ITEM</v>
      </c>
      <c r="C165" t="str">
        <v>BAG-A19.50X40.50</v>
      </c>
      <c r="D165" t="str">
        <v>Qty: "7x24000" -&gt; "7x24000"</v>
      </c>
    </row>
    <row r="166">
      <c r="A166" t="str">
        <v>2026-02-19T21:41:39.471Z</v>
      </c>
      <c r="B166" t="str">
        <v>PRINT</v>
      </c>
      <c r="C166" t="str">
        <v>-</v>
      </c>
      <c r="D166" t="str">
        <v>Inventory count sheet printed.</v>
      </c>
    </row>
    <row r="167">
      <c r="A167" t="str">
        <v>2026-02-19T21:41:29.167Z</v>
      </c>
      <c r="B167" t="str">
        <v>EXPORT REPORT</v>
      </c>
      <c r="C167" t="str">
        <v>-</v>
      </c>
      <c r="D167" t="str">
        <v>Human-readable report exported.</v>
      </c>
    </row>
    <row r="168">
      <c r="A168" t="str">
        <v>2026-02-19T21:41:18.883Z</v>
      </c>
      <c r="B168" t="str">
        <v>BACKUP</v>
      </c>
      <c r="C168" t="str">
        <v>-</v>
      </c>
      <c r="D168" t="str">
        <v>Full inventory state backed up.</v>
      </c>
    </row>
    <row r="169">
      <c r="A169" t="str">
        <v>2026-02-19T21:41:08.378Z</v>
      </c>
      <c r="B169" t="str">
        <v>BACKUP</v>
      </c>
      <c r="C169" t="str">
        <v>-</v>
      </c>
      <c r="D169" t="str">
        <v>Full inventory state backed up.</v>
      </c>
    </row>
    <row r="170">
      <c r="A170" t="str">
        <v>2026-02-19T21:31:19.548Z</v>
      </c>
      <c r="B170" t="str">
        <v>PRINT</v>
      </c>
      <c r="C170" t="str">
        <v>-</v>
      </c>
      <c r="D170" t="str">
        <v>Inventory count sheet printed.</v>
      </c>
    </row>
    <row r="171">
      <c r="A171" t="str">
        <v>2026-02-19T21:29:07.576Z</v>
      </c>
      <c r="B171" t="str">
        <v>BULK WITHDRAW</v>
      </c>
      <c r="C171" t="str">
        <v>8 items</v>
      </c>
      <c r="D171" t="str">
        <v>BAG-B21.50X29PE (-24,000), BAG-A26X32.50PE (-24,000), LBL-COCL22G_NS (-24), LBL-OORUA75G (-18), LBL-OORXS5G-E_NS (-48), LBL-PTCCHJA85G_NS (-6), LBL-RCL24G_NS (-48), LBL-SOPCF60GH_NS (-12)</v>
      </c>
    </row>
    <row r="172">
      <c r="A172" t="str">
        <v>2026-02-19T21:27:41.675Z</v>
      </c>
      <c r="B172" t="str">
        <v>BULK WITHDRAW</v>
      </c>
      <c r="C172" t="str">
        <v>17 items</v>
      </c>
      <c r="D172" t="str">
        <v>BAG-A19.5X35PE (-15,000), BAG-A20.5X45PE (-7,500), BAG-A23X42PE-G (-7,500), BAG-A26X45HD (-19,200), BAG-B10.50X12PP (-50,000), BAG-B15.50X23PE (-3,000), BAG-B15.50X42PE (-15,000), BAG-B17.5X34PE (-15,000), BAG-B18X30BPE (-15,000), BUNDLES-44X60 (-10,000), LBL-COCL22G_NS (-48), LBL-CRPUA85G8_NS (-62), LBL-KYFUA60G8_NS (-18), LBL-PFCLB21G_NS (-48), LBL-RCSUA85G8_NS (-5), LBL-SOPCF60GH_NS (-5), LBL-SOPCL24G_NS (-48)</v>
      </c>
    </row>
    <row r="173">
      <c r="A173" t="str">
        <v>2026-02-19T21:25:04.373Z</v>
      </c>
      <c r="B173" t="str">
        <v>BULK WITHDRAW</v>
      </c>
      <c r="C173" t="str">
        <v>17 items</v>
      </c>
      <c r="D173" t="str">
        <v>BAG-B21.50X29PE (-255,000), LBL-COCL22G_NS (-60), LBL-CRPUA85G8_NS (-103), LBL-EHOPCF60G_NS (-10), LBL-KYFUA60G8_NS (-10), LBL-OFKBA80G-800 (-10), LBL-OORUA75G (-3), LBL-PFBM50G-H_NS (-10), LBL-PFUA90G-8_NS (-5), LBL-PFCBM50G_NS (-17), LBL-PFCLB21G_NS (-48), LBL-PFKBM50G-H_NS (-10), LBL-PFKLB21G_NS (-10), LBL-RCBM50G_NS (-10), LBL-RCSUA85G8_NS (-10), LBL-SOPCF60GH_NS (-10), LBL-SOPCL24G_NS (-144)</v>
      </c>
    </row>
    <row r="174">
      <c r="A174" t="str">
        <v>2026-02-19T21:21:42.412Z</v>
      </c>
      <c r="B174" t="str">
        <v>EDIT ITEM</v>
      </c>
      <c r="C174" t="str">
        <v>BAG-A27X37.50PE</v>
      </c>
      <c r="D174" t="str">
        <v>Qty: "7×24000 | 15900 | 16800 | 12300 | 3000 | 5×24000 | 4200" -&gt; "7×24000 | 15900 | 16800 | 12300 | 3000 | 5×24000 | 4200"</v>
      </c>
    </row>
    <row r="175">
      <c r="A175" t="str">
        <v>2026-02-19T21:21:27.020Z</v>
      </c>
      <c r="B175" t="str">
        <v>EDIT ITEM</v>
      </c>
      <c r="C175" t="str">
        <v>BAG-A25.5X32PE</v>
      </c>
      <c r="D175" t="str">
        <v>Qty: "10×24000 | 3300 | 12×24000 | 14400 l 2700 | 4×24000 | 10200 | 10×24000 | 300" -&gt; "10×24000 | 3300 | 12×24000 | 14400 | 2700 | 4×24000 | 10200 | 10×24000 | 300"</v>
      </c>
    </row>
    <row r="176">
      <c r="A176" t="str">
        <v>2026-02-19T21:20:47.092Z</v>
      </c>
      <c r="B176" t="str">
        <v>DELIVERY (BULK)</v>
      </c>
      <c r="C176" t="str">
        <v>BAG-A27X37.50PE</v>
      </c>
      <c r="D176" t="str">
        <v>+124,200 pcs</v>
      </c>
    </row>
    <row r="177">
      <c r="A177" t="str">
        <v>2026-02-19T21:20:46.985Z</v>
      </c>
      <c r="B177" t="str">
        <v>DELIVERY (BULK)</v>
      </c>
      <c r="C177" t="str">
        <v>BAG-A25.5X32PE</v>
      </c>
      <c r="D177" t="str">
        <v>+240,300 pcs</v>
      </c>
    </row>
    <row r="178">
      <c r="A178" t="str">
        <v>2026-02-19T21:19:04.502Z</v>
      </c>
      <c r="B178" t="str">
        <v>DELIVERY (BULK)</v>
      </c>
      <c r="C178" t="str">
        <v>BAG-A25.5X32PE</v>
      </c>
      <c r="D178" t="str">
        <v>+106,200 pcs</v>
      </c>
    </row>
    <row r="179">
      <c r="A179" t="str">
        <v>2026-02-19T21:19:04.394Z</v>
      </c>
      <c r="B179" t="str">
        <v>DELIVERY (BULK)</v>
      </c>
      <c r="C179" t="str">
        <v>BAG-A19.5X35PE</v>
      </c>
      <c r="D179" t="str">
        <v>+159,000 pcs</v>
      </c>
    </row>
    <row r="180">
      <c r="A180" t="str">
        <v>2026-02-19T21:19:04.298Z</v>
      </c>
      <c r="B180" t="str">
        <v>DELIVERY (BULK)</v>
      </c>
      <c r="C180" t="str">
        <v>BAG-B21.50X29PE</v>
      </c>
      <c r="D180" t="str">
        <v>+230,400 pcs</v>
      </c>
    </row>
    <row r="181">
      <c r="A181" t="str">
        <v>2026-02-19T21:19:04.129Z</v>
      </c>
      <c r="B181" t="str">
        <v>DELIVERY (BULK)</v>
      </c>
      <c r="C181" t="str">
        <v>BAG-A26.5X37.5PE</v>
      </c>
      <c r="D181" t="str">
        <v>+83,600 pcs</v>
      </c>
    </row>
    <row r="182">
      <c r="A182" t="str">
        <v>2026-02-19T21:19:04.017Z</v>
      </c>
      <c r="B182" t="str">
        <v>DELIVERY (BULK)</v>
      </c>
      <c r="C182" t="str">
        <v>BAG-B23X29.53W/HO</v>
      </c>
      <c r="D182" t="str">
        <v>+106,200 pcs</v>
      </c>
    </row>
    <row r="183">
      <c r="A183" t="str">
        <v>2026-02-19T21:19:03.905Z</v>
      </c>
      <c r="B183" t="str">
        <v>DELIVERY (BULK)</v>
      </c>
      <c r="C183" t="str">
        <v>BAG-B21.50X29PE</v>
      </c>
      <c r="D183" t="str">
        <v>+34,500 pcs</v>
      </c>
    </row>
    <row r="184">
      <c r="A184" t="str">
        <v>2026-02-19T21:15:53.578Z</v>
      </c>
      <c r="B184" t="str">
        <v>DELIVERY (BULK)</v>
      </c>
      <c r="C184" t="str">
        <v>LBL-RCUA90G-8_NS</v>
      </c>
      <c r="D184" t="str">
        <v>+108 pcs</v>
      </c>
    </row>
    <row r="185">
      <c r="A185" t="str">
        <v>2026-02-19T21:15:53.569Z</v>
      </c>
      <c r="B185" t="str">
        <v>DELIVERY (BULK)</v>
      </c>
      <c r="C185" t="str">
        <v>LBL-CRPUA85G8_NS</v>
      </c>
      <c r="D185" t="str">
        <v>+43 pcs</v>
      </c>
    </row>
    <row r="186">
      <c r="A186" t="str">
        <v>2026-02-19T14:26:18.624Z</v>
      </c>
      <c r="B186" t="str">
        <v>PRINT</v>
      </c>
      <c r="C186" t="str">
        <v>-</v>
      </c>
      <c r="D186" t="str">
        <v>Inventory count sheet printed.</v>
      </c>
    </row>
    <row r="187">
      <c r="A187" t="str">
        <v>2026-02-19T14:06:27.455Z</v>
      </c>
      <c r="B187" t="str">
        <v>PRINT</v>
      </c>
      <c r="C187" t="str">
        <v>-</v>
      </c>
      <c r="D187" t="str">
        <v>Inventory count sheet printed.</v>
      </c>
    </row>
    <row r="188">
      <c r="A188" t="str">
        <v>2026-02-19T13:55:13.518Z</v>
      </c>
      <c r="B188" t="str">
        <v>PRINT</v>
      </c>
      <c r="C188" t="str">
        <v>-</v>
      </c>
      <c r="D188" t="str">
        <v>Inventory count sheet printed.</v>
      </c>
    </row>
    <row r="189">
      <c r="A189" t="str">
        <v>2026-02-19T12:14:57.433Z</v>
      </c>
      <c r="B189" t="str">
        <v>EXPORT REPORT</v>
      </c>
      <c r="C189" t="str">
        <v>-</v>
      </c>
      <c r="D189" t="str">
        <v>Human-readable report exported.</v>
      </c>
    </row>
    <row r="190">
      <c r="A190" t="str">
        <v>2026-02-19T12:14:51.904Z</v>
      </c>
      <c r="B190" t="str">
        <v>BACKUP</v>
      </c>
      <c r="C190" t="str">
        <v>-</v>
      </c>
      <c r="D190" t="str">
        <v>Full inventory state backed up.</v>
      </c>
    </row>
    <row r="191">
      <c r="A191" t="str">
        <v>2026-02-19T12:14:47.636Z</v>
      </c>
      <c r="B191" t="str">
        <v>BACKUP</v>
      </c>
      <c r="C191" t="str">
        <v>-</v>
      </c>
      <c r="D191" t="str">
        <v>Full inventory state backed up.</v>
      </c>
    </row>
    <row r="192">
      <c r="A192" t="str">
        <v>2026-02-19T10:25:29.215Z</v>
      </c>
      <c r="B192" t="str">
        <v>EDIT ITEM</v>
      </c>
      <c r="C192" t="str">
        <v>LBL-RCL24G_NS</v>
      </c>
      <c r="D192" t="str">
        <v>Qty: "2×48 | 23 | 3×48 | 28 | 4×48 | 5" -&gt; "2×48 | 23 | 7×48 | 28 |  5"</v>
      </c>
    </row>
    <row r="193">
      <c r="A193" t="str">
        <v>2026-02-19T10:25:01.487Z</v>
      </c>
      <c r="B193" t="str">
        <v>EDIT ITEM</v>
      </c>
      <c r="C193" t="str">
        <v>LBL-PFLB21G_NS</v>
      </c>
      <c r="D193" t="str">
        <v>Qty: "48 | 33 | 4x48 | 24" -&gt; "48 | 33 | 8×48 | 24"</v>
      </c>
    </row>
    <row r="194">
      <c r="A194" t="str">
        <v>2026-02-19T10:24:11.406Z</v>
      </c>
      <c r="B194" t="str">
        <v>EDIT ITEM</v>
      </c>
      <c r="C194" t="str">
        <v>LBL-PFBQBM50G_NS</v>
      </c>
      <c r="D194" t="str">
        <v>Qty: "27 | 4" -&gt; "16 | 15"</v>
      </c>
    </row>
    <row r="195">
      <c r="A195" t="str">
        <v>2026-02-19T10:23:58.559Z</v>
      </c>
      <c r="B195" t="str">
        <v>EDIT ITEM</v>
      </c>
      <c r="C195" t="str">
        <v>LBL-OORXS5G-E_NS</v>
      </c>
      <c r="D195" t="str">
        <v>Qty: "8×96 | 71" -&gt; "7×96 | 91 l 76"</v>
      </c>
    </row>
    <row r="196">
      <c r="A196" t="str">
        <v>2026-02-19T10:23:37.767Z</v>
      </c>
      <c r="B196" t="str">
        <v>EDIT ITEM</v>
      </c>
      <c r="C196" t="str">
        <v>LBL-OFKLF22G_NS</v>
      </c>
      <c r="D196" t="str">
        <v>Qty: "3×36 | 32 | 10" -&gt; "4×36 | 6"</v>
      </c>
    </row>
    <row r="197">
      <c r="A197" t="str">
        <v>2026-02-19T10:23:19.575Z</v>
      </c>
      <c r="B197" t="str">
        <v>EDIT ITEM</v>
      </c>
      <c r="C197" t="str">
        <v>LBL-CRPUA85G8_NS</v>
      </c>
      <c r="D197" t="str">
        <v>Qty: "7×18 | 17 | 11×18 | 5 | 3×18 | 16 | 16×18" -&gt; "38×18 | 13 | 7"</v>
      </c>
    </row>
    <row r="198">
      <c r="A198" t="str">
        <v>2026-02-19T10:22:52.806Z</v>
      </c>
      <c r="B198" t="str">
        <v>EDIT ITEM</v>
      </c>
      <c r="C198" t="str">
        <v>LBL-CRPL24G-VL-ND</v>
      </c>
      <c r="D198" t="str">
        <v>Qty: "42×48" -&gt; "42×48 l 2x48"</v>
      </c>
    </row>
    <row r="199">
      <c r="A199" t="str">
        <v>2026-02-19T10:22:20.190Z</v>
      </c>
      <c r="B199" t="str">
        <v>EDIT ITEM</v>
      </c>
      <c r="C199" t="str">
        <v>BUNDLES-44X60</v>
      </c>
      <c r="D199" t="str">
        <v>Qty: "3×6400 | 300" -&gt; "3×6400 | 200"</v>
      </c>
    </row>
    <row r="200">
      <c r="A200" t="str">
        <v>2026-02-19T10:22:10.678Z</v>
      </c>
      <c r="B200" t="str">
        <v>EDIT ITEM</v>
      </c>
      <c r="C200" t="str">
        <v>BAG-B22.50X34PE</v>
      </c>
      <c r="D200" t="str">
        <v>Qty: "7×24000 | 19500 | 12×24000" -&gt; "8×24000 | 19500 | 11×24000"</v>
      </c>
    </row>
    <row r="201">
      <c r="A201" t="str">
        <v>2026-02-19T10:21:37.039Z</v>
      </c>
      <c r="B201" t="str">
        <v>EDIT ITEM</v>
      </c>
      <c r="C201" t="str">
        <v>BAG-B21.50X29PE</v>
      </c>
      <c r="D201" t="str">
        <v>Qty: "47×24000 | 18600 | 5×24000 | 9600" -&gt; "51×24000 | 6900 | 11100 | 16200"</v>
      </c>
    </row>
    <row r="202">
      <c r="A202" t="str">
        <v>2026-02-19T10:20:47.822Z</v>
      </c>
      <c r="B202" t="str">
        <v>EDIT ITEM</v>
      </c>
      <c r="C202" t="str">
        <v>BAG-B20.87X31.89FH</v>
      </c>
      <c r="D202" t="str">
        <v>Qty: "5×24000 | 26400 | 24000 | 21300 | 4200 | 19500" -&gt; "5×24000 | 26400 | 24000 | 3000 | 16500 | 19500"</v>
      </c>
    </row>
    <row r="203">
      <c r="A203" t="str">
        <v>2026-02-19T10:20:22.171Z</v>
      </c>
      <c r="B203" t="str">
        <v>EDIT ITEM</v>
      </c>
      <c r="C203" t="str">
        <v>BAG-B18X30BPE</v>
      </c>
      <c r="D203" t="str">
        <v>Qty: "10×36000 | 27000 l 18000 | 17×36000" -&gt; "10×36000 | 27000 | 18000 | 17×36000"</v>
      </c>
    </row>
    <row r="204">
      <c r="A204" t="str">
        <v>2026-02-19T10:20:13.094Z</v>
      </c>
      <c r="B204" t="str">
        <v>EDIT ITEM</v>
      </c>
      <c r="C204" t="str">
        <v>BAG-B18X30BPE</v>
      </c>
      <c r="D204" t="str">
        <v>Qty: "14×36000 | 9000 | 8×36000" -&gt; "10×36000 | 27000 l 18000 | 17×36000"</v>
      </c>
    </row>
    <row r="205">
      <c r="A205" t="str">
        <v>2026-02-19T10:19:36.054Z</v>
      </c>
      <c r="B205" t="str">
        <v>EDIT ITEM</v>
      </c>
      <c r="C205" t="str">
        <v>BAG-B17.5X34PE</v>
      </c>
      <c r="D205" t="str">
        <v>Qty: "30000 | 26100 | 8×24000 | 15900 | 5×24000 | 14100" -&gt; "2x30000 | 9000 | 8×24000 | 5×24000 | 17100"</v>
      </c>
    </row>
    <row r="206">
      <c r="A206" t="str">
        <v>2026-02-19T10:18:59.342Z</v>
      </c>
      <c r="B206" t="str">
        <v>EDIT ITEM</v>
      </c>
      <c r="C206" t="str">
        <v>BAG-B15.50X42PE</v>
      </c>
      <c r="D206" t="str">
        <v>Qty: "36000 | 22800 | 10×27000" -&gt; "2x36000 | 3300 l 10800 | 10×27000"</v>
      </c>
    </row>
    <row r="207">
      <c r="A207" t="str">
        <v>2026-02-19T10:18:23.070Z</v>
      </c>
      <c r="B207" t="str">
        <v>EDIT ITEM</v>
      </c>
      <c r="C207" t="str">
        <v>BAG-A27X42PE</v>
      </c>
      <c r="D207" t="str">
        <v>Qty: "8100 | 3×18000 | 16200 | 2×18000 | 16200" -&gt; "8000| 3×18000 | 16200 | 2×18000 | 16200"</v>
      </c>
    </row>
    <row r="208">
      <c r="A208" t="str">
        <v>2026-02-19T10:18:04.894Z</v>
      </c>
      <c r="B208" t="str">
        <v>EDIT ITEM</v>
      </c>
      <c r="C208" t="str">
        <v>BAG-A27X37.50PE</v>
      </c>
      <c r="D208" t="str">
        <v>Qty: "4×24000 | 5300 | 16800 | 3×24000 | 15900" -&gt; "7×24000 | 15900 | 16800 | 12300 | 3000"</v>
      </c>
    </row>
    <row r="209">
      <c r="A209" t="str">
        <v>2026-02-19T10:17:27.238Z</v>
      </c>
      <c r="B209" t="str">
        <v>EDIT ITEM</v>
      </c>
      <c r="C209" t="str">
        <v>BAG-A26X45HD</v>
      </c>
      <c r="D209" t="str">
        <v>Qty: "2×19200 | 1800 | 19200 | 10800" -&gt; "2×19200 | 1200 | 19200 | 10800  l 2x19200"</v>
      </c>
    </row>
    <row r="210">
      <c r="A210" t="str">
        <v>2026-02-19T10:16:49.230Z</v>
      </c>
      <c r="B210" t="str">
        <v>EDIT ITEM</v>
      </c>
      <c r="C210" t="str">
        <v>BAG-A26X32.50PE</v>
      </c>
      <c r="D210" t="str">
        <v>Qty: "24000 | 19600 | 10×24000 | 10×24000" -&gt; "3x24000 | 4600 | 10×24000 | 8×24000 l 12000 l 3000"</v>
      </c>
    </row>
    <row r="211">
      <c r="A211" t="str">
        <v>2026-02-19T10:16:03.550Z</v>
      </c>
      <c r="B211" t="str">
        <v>EDIT ITEM</v>
      </c>
      <c r="C211" t="str">
        <v>BAG-A26.5X37.5PE</v>
      </c>
      <c r="D211" t="str">
        <v>Qty: "14×24000 | 900 | 6×24000" -&gt; "13×24000 | 300 | 6×24000"</v>
      </c>
    </row>
    <row r="212">
      <c r="A212" t="str">
        <v>2026-02-19T10:15:43.830Z</v>
      </c>
      <c r="B212" t="str">
        <v>EDIT ITEM</v>
      </c>
      <c r="C212" t="str">
        <v>BAG-A25.5X32PE</v>
      </c>
      <c r="D212" t="str">
        <v>Qty: "10×24000 | 3300 | 3×24000 | 17400" -&gt; "10×24000 | 3300 | 12×24000 | 14400 l 2700"</v>
      </c>
    </row>
    <row r="213">
      <c r="A213" t="str">
        <v>2026-02-19T10:15:08.086Z</v>
      </c>
      <c r="B213" t="str">
        <v>EDIT ITEM</v>
      </c>
      <c r="C213" t="str">
        <v>BAG-A23X42PE-G</v>
      </c>
      <c r="D213" t="str">
        <v>Qty: "12×19200 | 17700" -&gt; "12×19200 | 11400 l 6300"</v>
      </c>
    </row>
    <row r="214">
      <c r="A214" t="str">
        <v>2026-02-19T10:14:48.189Z</v>
      </c>
      <c r="B214" t="str">
        <v>EDIT ITEM</v>
      </c>
      <c r="C214" t="str">
        <v>BAG-A22.50X39PE</v>
      </c>
      <c r="D214" t="str">
        <v>Qty: "7×24000 | 900" -&gt; "6×24000 | 900"</v>
      </c>
    </row>
    <row r="215">
      <c r="A215" t="str">
        <v>2026-02-19T10:14:37.318Z</v>
      </c>
      <c r="B215" t="str">
        <v>EDIT ITEM</v>
      </c>
      <c r="C215" t="str">
        <v>BAG-A20.5X45PE</v>
      </c>
      <c r="D215" t="str">
        <v>Qty: "4×24000 | 5×24000 | 9600" -&gt; "2×24000 | 6×24000 | 9600"</v>
      </c>
    </row>
    <row r="216">
      <c r="A216" t="str">
        <v>2026-02-19T10:14:22.534Z</v>
      </c>
      <c r="B216" t="str">
        <v>EDIT ITEM</v>
      </c>
      <c r="C216" t="str">
        <v>BAG-A19.5X35PE</v>
      </c>
      <c r="D216" t="str">
        <v>Qty: "8×24000 | 6600 | 12×24000" -&gt; "9×24000 | 300 | 12×24000"</v>
      </c>
    </row>
    <row r="217">
      <c r="A217" t="str">
        <v>2026-02-18T21:49:53.076Z</v>
      </c>
      <c r="B217" t="str">
        <v>PRINT</v>
      </c>
      <c r="C217" t="str">
        <v>-</v>
      </c>
      <c r="D217" t="str">
        <v>Inventory count sheet printed.</v>
      </c>
    </row>
    <row r="218">
      <c r="A218" t="str">
        <v>2026-02-18T21:44:30.670Z</v>
      </c>
      <c r="B218" t="str">
        <v>PRINT</v>
      </c>
      <c r="C218" t="str">
        <v>-</v>
      </c>
      <c r="D218" t="str">
        <v>Inventory count sheet printed.</v>
      </c>
    </row>
    <row r="219">
      <c r="A219" t="str">
        <v>2026-02-18T21:43:27.559Z</v>
      </c>
      <c r="B219" t="str">
        <v>EDIT ITEM</v>
      </c>
      <c r="C219" t="str">
        <v>kyfl</v>
      </c>
      <c r="D219" t="str">
        <v>Qty: "16" -&gt; ""</v>
      </c>
    </row>
    <row r="220">
      <c r="A220" t="str">
        <v>2026-02-18T21:43:16.511Z</v>
      </c>
      <c r="B220" t="str">
        <v>EDIT ITEM</v>
      </c>
      <c r="C220" t="str">
        <v>LBL-KYFL20G_NS</v>
      </c>
      <c r="D220" t="str">
        <v>Qty: "2×48 | 6" -&gt; "2×48 | 6 l 16"</v>
      </c>
    </row>
    <row r="221">
      <c r="A221" t="str">
        <v>2026-02-18T21:41:12.555Z</v>
      </c>
      <c r="B221" t="str">
        <v>PRINT</v>
      </c>
      <c r="C221" t="str">
        <v>-</v>
      </c>
      <c r="D221" t="str">
        <v>Inventory count sheet printed.</v>
      </c>
    </row>
    <row r="222">
      <c r="A222" t="str">
        <v>2026-02-18T21:41:02.173Z</v>
      </c>
      <c r="B222" t="str">
        <v>EXPORT REPORT</v>
      </c>
      <c r="C222" t="str">
        <v>-</v>
      </c>
      <c r="D222" t="str">
        <v>Human-readable report exported.</v>
      </c>
    </row>
    <row r="223">
      <c r="A223" t="str">
        <v>2026-02-18T21:40:55.540Z</v>
      </c>
      <c r="B223" t="str">
        <v>BACKUP</v>
      </c>
      <c r="C223" t="str">
        <v>-</v>
      </c>
      <c r="D223" t="str">
        <v>Full inventory state backed up.</v>
      </c>
    </row>
    <row r="224">
      <c r="A224" t="str">
        <v>2026-02-18T21:40:42.748Z</v>
      </c>
      <c r="B224" t="str">
        <v>BACKUP</v>
      </c>
      <c r="C224" t="str">
        <v>-</v>
      </c>
      <c r="D224" t="str">
        <v>Full inventory state backed up.</v>
      </c>
    </row>
    <row r="225">
      <c r="A225" t="str">
        <v>2026-02-18T21:40:17.959Z</v>
      </c>
      <c r="B225" t="str">
        <v>PRINT</v>
      </c>
      <c r="C225" t="str">
        <v>-</v>
      </c>
      <c r="D225" t="str">
        <v>Inventory count sheet printed.</v>
      </c>
    </row>
    <row r="226">
      <c r="A226" t="str">
        <v>2026-02-18T21:39:01.858Z</v>
      </c>
      <c r="B226" t="str">
        <v>BULK WITHDRAW</v>
      </c>
      <c r="C226" t="str">
        <v>14 items</v>
      </c>
      <c r="D226" t="str">
        <v>BAG-A22.50X39PE (-12,000), BAG-B21.50X29PE (-24,000), BAG-A26X32.50PE (-24,000), BAG-B20.87X31.89FH (-24,000), LBL-COCL22G_NS (-48), LBL-CRPUA85G8_NS (-36), LBL-KYFF45GH_NS (-36), LBL-OFKBA80G-800 (-27), LBL-OORXS5G-E_NS (-50), LBL-OPCL24G_NS (-12), LBL-PFBQBM50G_NS (-18), LBL-PFCLB21G_NS (-48), LBL-SOPCF60GE_UNI (-108), LBL-CRPL24G-VL-ND (-48)</v>
      </c>
    </row>
    <row r="227">
      <c r="A227" t="str">
        <v>2026-02-18T21:36:06.774Z</v>
      </c>
      <c r="B227" t="str">
        <v>BULK WITHDRAW</v>
      </c>
      <c r="C227" t="str">
        <v>17 items</v>
      </c>
      <c r="D227" t="str">
        <v>BAG-A19.5X35PE (-18,000), BAG-A20.5X45PE (-12,000), BAG-B21.50X29PE (-15,000), BAG-B23X29.53W/HO (-180,000), BAG-A23X42PE-G (-9,000), BAG-A26X30HD (-3,000), BAG-A25.5X32PE (-24,000), BAG-A26X45HD (-6,000), BAG-A26.5X37.5PE (-3,000), BAG-A27X42PE (-3,000), BAG-B15.50X42PE (-12,000), BAG-B17.5X34PE (-6,000), BAG-B20.87X31.89FH (-9,000), BAG-B22.50X37PE (-3,000), BUNDLES-44X60 (-1,100), LBL-CRPUA85G8_NS (-116), LBL-SOPCL24G_NS (-68)</v>
      </c>
    </row>
    <row r="228">
      <c r="A228" t="str">
        <v>2026-02-18T21:32:14.207Z</v>
      </c>
      <c r="B228" t="str">
        <v>BULK WITHDRAW</v>
      </c>
      <c r="C228" t="str">
        <v>18 items</v>
      </c>
      <c r="D228" t="str">
        <v>BAG-A19.5X35PE (-18,000), BAG-A20.5X45PE (-2,400), BAG-B21.50X29PE (-81,000), BAG-B23X29.53W/HO (-72,000), BAG-A23X42PE-G (-3,900), BAG-A26X30HD (-900), BAG-A26X32.50PE (-36,000), BAG-A25.5X32PE (-75,000), BAG-A26X45HD (-9,000), BAG-A26.5X37.5PE (-9,000), BAG-A27X37.50PE (-18,000), BAG-B10.50X12PP (-60,000), BAG-B15.50X42PE (-4,500), BAG-B17.5X34PE (-6,900), BAG-B18X30BPE (-27,000), BAG-B22.50X34PE (-18,000), LBL-OFKLF22G_NS (-24), LBL-CRPL24G-VL-ND (-48)</v>
      </c>
    </row>
    <row r="229">
      <c r="A229" t="str">
        <v>2026-02-18T21:28:15.189Z</v>
      </c>
      <c r="B229" t="str">
        <v>BULK WITHDRAW</v>
      </c>
      <c r="C229" t="str">
        <v>2 items</v>
      </c>
      <c r="D229" t="str">
        <v>LBL-OPCF60GH_NS (-18), LBL-SOPCL24G_NS (-108)</v>
      </c>
    </row>
    <row r="230">
      <c r="A230" t="str">
        <v>2026-02-18T21:24:12.607Z</v>
      </c>
      <c r="B230" t="str">
        <v>DELIVERY (BULK)</v>
      </c>
      <c r="C230" t="str">
        <v>BAG-B23X29.53W/HO</v>
      </c>
      <c r="D230" t="str">
        <v>+85,500 pcs</v>
      </c>
    </row>
    <row r="231">
      <c r="A231" t="str">
        <v>2026-02-18T21:24:12.506Z</v>
      </c>
      <c r="B231" t="str">
        <v>DELIVERY (BULK)</v>
      </c>
      <c r="C231" t="str">
        <v>BAG-A26X45HD</v>
      </c>
      <c r="D231" t="str">
        <v>+30,000 pcs</v>
      </c>
    </row>
    <row r="232">
      <c r="A232" t="str">
        <v>2026-02-18T21:22:55.780Z</v>
      </c>
      <c r="B232" t="str">
        <v>DELIVERY (BULK)</v>
      </c>
      <c r="C232" t="str">
        <v>LBL-PFCLB21G_NS</v>
      </c>
      <c r="D232" t="str">
        <v>+144 pcs</v>
      </c>
    </row>
    <row r="233">
      <c r="A233" t="str">
        <v>2026-02-18T21:22:55.635Z</v>
      </c>
      <c r="B233" t="str">
        <v>DELIVERY (BULK)</v>
      </c>
      <c r="C233" t="str">
        <v>LBL-RCL24G_NS</v>
      </c>
      <c r="D233" t="str">
        <v>+197 pcs</v>
      </c>
    </row>
    <row r="234">
      <c r="A234" t="str">
        <v>2026-02-18T21:22:55.528Z</v>
      </c>
      <c r="B234" t="str">
        <v>DELIVERY (BULK)</v>
      </c>
      <c r="C234" t="str">
        <v>LBL-PFLB21G_NS</v>
      </c>
      <c r="D234" t="str">
        <v>+24 pcs</v>
      </c>
    </row>
    <row r="235">
      <c r="A235" t="str">
        <v>2026-02-18T21:22:55.424Z</v>
      </c>
      <c r="B235" t="str">
        <v>DELIVERY (BULK)</v>
      </c>
      <c r="C235" t="str">
        <v>kyfl</v>
      </c>
      <c r="D235" t="str">
        <v>+16 pcs</v>
      </c>
    </row>
    <row r="236">
      <c r="A236" t="str">
        <v>2026-02-18T21:22:55.310Z</v>
      </c>
      <c r="B236" t="str">
        <v>DELIVERY (BULK)</v>
      </c>
      <c r="C236" t="str">
        <v>LBL-CRPUA85G8_NS</v>
      </c>
      <c r="D236" t="str">
        <v>+288 pcs</v>
      </c>
    </row>
    <row r="237">
      <c r="A237" t="str">
        <v>2026-02-18T21:22:55.186Z</v>
      </c>
      <c r="B237" t="str">
        <v>DELIVERY (BULK)</v>
      </c>
      <c r="C237" t="str">
        <v>LBL-CRPUA85G8_NS</v>
      </c>
      <c r="D237" t="str">
        <v>+70 pcs</v>
      </c>
    </row>
    <row r="238">
      <c r="A238" t="str">
        <v>2026-02-17T22:21:57.039Z</v>
      </c>
      <c r="B238" t="str">
        <v>PRINT</v>
      </c>
      <c r="C238" t="str">
        <v>-</v>
      </c>
      <c r="D238" t="str">
        <v>Inventory count sheet printed.</v>
      </c>
    </row>
    <row r="239">
      <c r="A239" t="str">
        <v>2026-02-17T22:21:21.904Z</v>
      </c>
      <c r="B239" t="str">
        <v>BULK WITHDRAW</v>
      </c>
      <c r="C239" t="str">
        <v>14 items</v>
      </c>
      <c r="D239" t="str">
        <v>BAG-A19.5X35PE (-36,150), BAG-B21.50X29PE (-24,000), BAG-A22X30PEW/FLAP (-24,000), BAG-B23X29.53W/HO (-24,000), BAG-A25.5X32PE (-12,000), BAG-B22.50X34PE (-24,000), LBL-COCL22G_NS (-48), LBL-CRPUA85G8_NS (-45), LBL-OFKLF22G_NS (-84), LBL-OORUA75G (-18), LBL-PFBM50G-H_NS (-20), LBL-PFUA90G-8_NS (-25), LBL-PFCUA90G-8_NS (-18), LBL-OFCL24G-VL-ND (-24)</v>
      </c>
    </row>
    <row r="240">
      <c r="A240" t="str">
        <v>2026-02-17T22:14:34.414Z</v>
      </c>
      <c r="B240" t="str">
        <v>DELIVERY (BULK)</v>
      </c>
      <c r="C240" t="str">
        <v>BAG-A22X30PEW/FLAP</v>
      </c>
      <c r="D240" t="str">
        <v>+64,800 pcs</v>
      </c>
    </row>
    <row r="241">
      <c r="A241" t="str">
        <v>2026-02-17T22:14:34.309Z</v>
      </c>
      <c r="B241" t="str">
        <v>DELIVERY (BULK)</v>
      </c>
      <c r="C241" t="str">
        <v>BAG-A26X45HD</v>
      </c>
      <c r="D241" t="str">
        <v>+4,200 pcs</v>
      </c>
    </row>
    <row r="242">
      <c r="A242" t="str">
        <v>2026-02-17T22:13:24.990Z</v>
      </c>
      <c r="B242" t="str">
        <v>DELIVERY (BULK)</v>
      </c>
      <c r="C242" t="str">
        <v>BAG-A25.5X32PE</v>
      </c>
      <c r="D242" t="str">
        <v>+89,400 pcs</v>
      </c>
    </row>
    <row r="243">
      <c r="A243" t="str">
        <v>2026-02-17T22:13:24.883Z</v>
      </c>
      <c r="B243" t="str">
        <v>DELIVERY (BULK)</v>
      </c>
      <c r="C243" t="str">
        <v>BAG-A27X42PE</v>
      </c>
      <c r="D243" t="str">
        <v>+52,200 pcs</v>
      </c>
    </row>
    <row r="244">
      <c r="A244" t="str">
        <v>2026-02-17T22:13:24.775Z</v>
      </c>
      <c r="B244" t="str">
        <v>DELIVERY (BULK)</v>
      </c>
      <c r="C244" t="str">
        <v>BAG-B21.50X29PE</v>
      </c>
      <c r="D244" t="str">
        <v>+129,600 pcs</v>
      </c>
    </row>
    <row r="245">
      <c r="A245" t="str">
        <v>2026-02-17T22:13:24.639Z</v>
      </c>
      <c r="B245" t="str">
        <v>DELIVERY (BULK)</v>
      </c>
      <c r="C245" t="str">
        <v>BAG-A27X37.50PE</v>
      </c>
      <c r="D245" t="str">
        <v>+87,900 pcs</v>
      </c>
    </row>
    <row r="246">
      <c r="A246" t="str">
        <v>2026-02-17T22:13:24.517Z</v>
      </c>
      <c r="B246" t="str">
        <v>DELIVERY (BULK)</v>
      </c>
      <c r="C246" t="str">
        <v>BAG-A22X30PE</v>
      </c>
      <c r="D246" t="str">
        <v>+29,100 pcs</v>
      </c>
    </row>
    <row r="247">
      <c r="A247" t="str">
        <v>2026-02-17T22:10:46.052Z</v>
      </c>
      <c r="B247" t="str">
        <v>DELIVERY (BULK)</v>
      </c>
      <c r="C247" t="str">
        <v>LBL-CRPUA85G8_NS</v>
      </c>
      <c r="D247" t="str">
        <v>+203 pcs</v>
      </c>
    </row>
    <row r="248">
      <c r="A248" t="str">
        <v>2026-02-17T22:10:45.933Z</v>
      </c>
      <c r="B248" t="str">
        <v>DELIVERY (BULK)</v>
      </c>
      <c r="C248" t="str">
        <v>LBL-PFCUA90G-8_NS</v>
      </c>
      <c r="D248" t="str">
        <v>+204 pcs</v>
      </c>
    </row>
    <row r="249">
      <c r="A249" t="str">
        <v>2026-02-17T22:10:45.832Z</v>
      </c>
      <c r="B249" t="str">
        <v>DELIVERY (BULK)</v>
      </c>
      <c r="C249" t="str">
        <v>LBL-RCL24G_NS</v>
      </c>
      <c r="D249" t="str">
        <v>+172 pcs</v>
      </c>
    </row>
    <row r="250">
      <c r="A250" t="str">
        <v>2026-02-17T22:10:45.726Z</v>
      </c>
      <c r="B250" t="str">
        <v>DELIVERY (BULK)</v>
      </c>
      <c r="C250" t="str">
        <v>LBL-SOPCL24G_NS</v>
      </c>
      <c r="D250" t="str">
        <v>+288 pcs</v>
      </c>
    </row>
    <row r="251">
      <c r="A251" t="str">
        <v>2026-02-16T23:06:50.073Z</v>
      </c>
      <c r="B251" t="str">
        <v>BACKUP</v>
      </c>
      <c r="C251" t="str">
        <v>-</v>
      </c>
      <c r="D251" t="str">
        <v>Full inventory state backed up.</v>
      </c>
    </row>
    <row r="252">
      <c r="A252" t="str">
        <v>2026-02-16T23:04:15.258Z</v>
      </c>
      <c r="B252" t="str">
        <v>EXPORT REPORT</v>
      </c>
      <c r="C252" t="str">
        <v>-</v>
      </c>
      <c r="D252" t="str">
        <v>Human-readable report exported.</v>
      </c>
    </row>
    <row r="253">
      <c r="A253" t="str">
        <v>2026-02-16T23:03:58.276Z</v>
      </c>
      <c r="B253" t="str">
        <v>EXPORT REPORT</v>
      </c>
      <c r="C253" t="str">
        <v>-</v>
      </c>
      <c r="D253" t="str">
        <v>Human-readable report exported.</v>
      </c>
    </row>
    <row r="254">
      <c r="A254" t="str">
        <v>2026-02-16T23:03:35.947Z</v>
      </c>
      <c r="B254" t="str">
        <v>BACKUP</v>
      </c>
      <c r="C254" t="str">
        <v>-</v>
      </c>
      <c r="D254" t="str">
        <v>Full inventory state backed up.</v>
      </c>
    </row>
    <row r="255">
      <c r="A255" t="str">
        <v>2026-02-16T23:03:15.730Z</v>
      </c>
      <c r="B255" t="str">
        <v>EDIT ITEM</v>
      </c>
      <c r="C255" t="str">
        <v>LBL-SOPCL24G_NS</v>
      </c>
      <c r="D255" t="str">
        <v>Qty: "2×48 | 3" -&gt; "3×48 | 51"</v>
      </c>
    </row>
    <row r="256">
      <c r="A256" t="str">
        <v>2026-02-16T23:03:05.107Z</v>
      </c>
      <c r="B256" t="str">
        <v>EDIT ITEM</v>
      </c>
      <c r="C256" t="str">
        <v>LBL-RCBM50G_NS</v>
      </c>
      <c r="D256" t="str">
        <v>Qty: "27 | 26 | 28" -&gt; "3x27"</v>
      </c>
    </row>
    <row r="257">
      <c r="A257" t="str">
        <v>2026-02-16T23:02:50.507Z</v>
      </c>
      <c r="B257" t="str">
        <v>EDIT ITEM</v>
      </c>
      <c r="C257" t="str">
        <v>LBL-PFLB21G_NS</v>
      </c>
      <c r="D257" t="str">
        <v>Qty: "2×48 | 18 | 15 | 3×48 | 4×48 | 21" -&gt; "48 | 33 | 4x48"</v>
      </c>
    </row>
    <row r="258">
      <c r="A258" t="str">
        <v>2026-02-16T23:01:59.482Z</v>
      </c>
      <c r="B258" t="str">
        <v>EDIT ITEM</v>
      </c>
      <c r="C258" t="str">
        <v>LBL-PFKLB21G_NS</v>
      </c>
      <c r="D258" t="str">
        <v>Qty: "38 | 56" -&gt; "48 | 46"</v>
      </c>
    </row>
    <row r="259">
      <c r="A259" t="str">
        <v>2026-02-16T23:01:46.010Z</v>
      </c>
      <c r="B259" t="str">
        <v>EDIT ITEM</v>
      </c>
      <c r="C259" t="str">
        <v>LBL-PFKBM50G-H_NS</v>
      </c>
      <c r="D259" t="str">
        <v>Qty: "7×27 | 13" -&gt; "7×27 | 9 l 4"</v>
      </c>
    </row>
    <row r="260">
      <c r="A260" t="str">
        <v>2026-02-16T23:01:23.426Z</v>
      </c>
      <c r="B260" t="str">
        <v>EDIT ITEM</v>
      </c>
      <c r="C260" t="str">
        <v>LBL-CRPUA85G8_NS</v>
      </c>
      <c r="D260" t="str">
        <v>Qty: "12×18 | 9 | 7 | 2×18" -&gt; "18×18 | 16"</v>
      </c>
    </row>
    <row r="261">
      <c r="A261" t="str">
        <v>2026-02-16T23:00:48.322Z</v>
      </c>
      <c r="B261" t="str">
        <v>EDIT ITEM</v>
      </c>
      <c r="C261" t="str">
        <v>LBL-CRPL24G-VL-ND</v>
      </c>
      <c r="D261" t="str">
        <v>Qty: "44×48 " -&gt; "44×48"</v>
      </c>
    </row>
    <row r="262">
      <c r="A262" t="str">
        <v>2026-02-16T23:00:42.402Z</v>
      </c>
      <c r="B262" t="str">
        <v>EDIT ITEM</v>
      </c>
      <c r="C262" t="str">
        <v>LBL-CRPL24G-VL-ND</v>
      </c>
      <c r="D262" t="str">
        <v>Qty: "38×48 | 46" -&gt; "44×48 "</v>
      </c>
    </row>
    <row r="263">
      <c r="A263" t="str">
        <v>2026-02-16T23:00:26.282Z</v>
      </c>
      <c r="B263" t="str">
        <v>EDIT ITEM</v>
      </c>
      <c r="C263" t="str">
        <v>LBL-COCL22G_NS</v>
      </c>
      <c r="D263" t="str">
        <v>Qty: "2×48 | 5 | 7×48" -&gt; "9×48 | 5 "</v>
      </c>
    </row>
    <row r="264">
      <c r="A264" t="str">
        <v>2026-02-16T23:00:07.202Z</v>
      </c>
      <c r="B264" t="str">
        <v>EDIT ITEM</v>
      </c>
      <c r="C264" t="str">
        <v>BAG-B23X29.53W/HO</v>
      </c>
      <c r="D264" t="str">
        <v>Qty: "2×24000 | 19200 | 2×24000 | 6000 | 4×24000 | 10800 | 3×24000" -&gt; "6×24000 | 19200 | 2×24000 | 6000 | 10800 | 3×24000"</v>
      </c>
    </row>
    <row r="265">
      <c r="A265" t="str">
        <v>2026-02-16T22:59:37.538Z</v>
      </c>
      <c r="B265" t="str">
        <v>EDIT ITEM</v>
      </c>
      <c r="C265" t="str">
        <v>BAG-B22.50X34PE</v>
      </c>
      <c r="D265" t="str">
        <v>Qty: "8×24000 | 13×24000 | 13500" -&gt; "9×24000 | 12×24000 | 13500"</v>
      </c>
    </row>
    <row r="266">
      <c r="A266" t="str">
        <v>2026-02-16T22:53:53.657Z</v>
      </c>
      <c r="B266" t="str">
        <v>EDIT ITEM</v>
      </c>
      <c r="C266" t="str">
        <v>BAG-B18X30BPE</v>
      </c>
      <c r="D266" t="str">
        <v>Qty: "14×36000 | 9×36000" -&gt; "15×36000 | 8×36000"</v>
      </c>
    </row>
    <row r="267">
      <c r="A267" t="str">
        <v>2026-02-16T22:53:33.361Z</v>
      </c>
      <c r="B267" t="str">
        <v>EDIT ITEM</v>
      </c>
      <c r="C267" t="str">
        <v>BAG-A27X37.50PE</v>
      </c>
      <c r="D267" t="str">
        <v>Qty: "4×24000 | 9600 | 5400 | 16800 | 3000 | 5900" -&gt; "4×24000 | 9000 | 5400 | 16800 | 3000 | 5900"</v>
      </c>
    </row>
    <row r="268">
      <c r="A268" t="str">
        <v>2026-02-16T22:53:18.433Z</v>
      </c>
      <c r="B268" t="str">
        <v>EDIT ITEM</v>
      </c>
      <c r="C268" t="str">
        <v>BAG-A26X32.50PE</v>
      </c>
      <c r="D268" t="str">
        <v>Qty: "3×24000 | 3000 | 4600 | 11×24000 | 10×24000" -&gt; "4×24000 | 3000 | 4600 | 10×24000 | 10×24000"</v>
      </c>
    </row>
    <row r="269">
      <c r="A269" t="str">
        <v>2026-02-16T22:52:58.049Z</v>
      </c>
      <c r="B269" t="str">
        <v>EDIT ITEM</v>
      </c>
      <c r="C269" t="str">
        <v>BAG-A25.5X32PE</v>
      </c>
      <c r="D269" t="str">
        <v>Qty: "6×24000 | 12×24000 | 9900" -&gt; "10×24000 | 3×24000 | 11700 l 3000 l 2100 l 15900 l 9600"</v>
      </c>
    </row>
    <row r="270">
      <c r="A270" t="str">
        <v>2026-02-16T22:50:58.705Z</v>
      </c>
      <c r="B270" t="str">
        <v>EDIT ITEM</v>
      </c>
      <c r="C270" t="str">
        <v>BAG-A23X42PE-G</v>
      </c>
      <c r="D270" t="str">
        <v>Qty: "13×19200 | 10800" -&gt; "13×19200 | 11400"</v>
      </c>
    </row>
    <row r="271">
      <c r="A271" t="str">
        <v>2026-02-16T21:54:02.377Z</v>
      </c>
      <c r="B271" t="str">
        <v>PRINT</v>
      </c>
      <c r="C271" t="str">
        <v>-</v>
      </c>
      <c r="D271" t="str">
        <v>Inventory count sheet printed.</v>
      </c>
    </row>
    <row r="272">
      <c r="A272" t="str">
        <v>2026-02-16T21:53:34.622Z</v>
      </c>
      <c r="B272" t="str">
        <v>PRINT</v>
      </c>
      <c r="C272" t="str">
        <v>-</v>
      </c>
      <c r="D272" t="str">
        <v>Inventory count sheet printed.</v>
      </c>
    </row>
    <row r="273">
      <c r="A273" t="str">
        <v>2026-02-16T21:35:13.721Z</v>
      </c>
      <c r="B273" t="str">
        <v>EXPORT REPORT</v>
      </c>
      <c r="C273" t="str">
        <v>-</v>
      </c>
      <c r="D273" t="str">
        <v>Human-readable report exported.</v>
      </c>
    </row>
    <row r="274">
      <c r="A274" t="str">
        <v>2026-02-16T21:34:59.834Z</v>
      </c>
      <c r="B274" t="str">
        <v>BACKUP</v>
      </c>
      <c r="C274" t="str">
        <v>-</v>
      </c>
      <c r="D274" t="str">
        <v>Full inventory state backed up.</v>
      </c>
    </row>
    <row r="275">
      <c r="A275" t="str">
        <v>2026-02-16T21:34:38.537Z</v>
      </c>
      <c r="B275" t="str">
        <v>BACKUP</v>
      </c>
      <c r="C275" t="str">
        <v>-</v>
      </c>
      <c r="D275" t="str">
        <v>Full inventory state backed up.</v>
      </c>
    </row>
    <row r="276">
      <c r="A276" t="str">
        <v>2026-02-16T21:30:21.947Z</v>
      </c>
      <c r="B276" t="str">
        <v>PRINT</v>
      </c>
      <c r="C276" t="str">
        <v>-</v>
      </c>
      <c r="D276" t="str">
        <v>Inventory count sheet printed.</v>
      </c>
    </row>
    <row r="277">
      <c r="A277" t="str">
        <v>2026-02-16T21:28:52.343Z</v>
      </c>
      <c r="B277" t="str">
        <v>BULK WITHDRAW</v>
      </c>
      <c r="C277" t="str">
        <v>8 items</v>
      </c>
      <c r="D277" t="str">
        <v>BAG-A26X32.50PE (-24,000), LBL-CRPUA85G8_NS (-27), LBL-OFKLF22G_NS (-36), LBL-OORXS5G-E_NS (-50), LBL-PFCUA90G-8_NS (-27), LBL-PFLB21G_NS (-68), LBL-RCBM50G_NS (-18), LBL-CRPL24G-VL-ND (-48)</v>
      </c>
    </row>
    <row r="278">
      <c r="A278" t="str">
        <v>2026-02-16T21:26:27.612Z</v>
      </c>
      <c r="B278" t="str">
        <v>DELIVERY (BULK)</v>
      </c>
      <c r="C278" t="str">
        <v>LBL-SOPCF60GE_UNI</v>
      </c>
      <c r="D278" t="str">
        <v>+108 pcs</v>
      </c>
    </row>
    <row r="279">
      <c r="A279" t="str">
        <v>2026-02-16T21:26:27.509Z</v>
      </c>
      <c r="B279" t="str">
        <v>DELIVERY (BULK)</v>
      </c>
      <c r="C279" t="str">
        <v>LBL-SOPCL24G_NS</v>
      </c>
      <c r="D279" t="str">
        <v>+99 pcs</v>
      </c>
    </row>
    <row r="280">
      <c r="A280" t="str">
        <v>2026-02-16T11:03:15.128Z</v>
      </c>
      <c r="B280" t="str">
        <v>EXPORT REPORT</v>
      </c>
      <c r="C280" t="str">
        <v>-</v>
      </c>
      <c r="D280" t="str">
        <v>Human-readable report exported.</v>
      </c>
    </row>
    <row r="281">
      <c r="A281" t="str">
        <v>2026-02-16T11:03:11.901Z</v>
      </c>
      <c r="B281" t="str">
        <v>BACKUP</v>
      </c>
      <c r="C281" t="str">
        <v>-</v>
      </c>
      <c r="D281" t="str">
        <v>Full inventory state backed up.</v>
      </c>
    </row>
    <row r="282">
      <c r="A282" t="str">
        <v>2026-02-16T11:03:01.681Z</v>
      </c>
      <c r="B282" t="str">
        <v>BACKUP</v>
      </c>
      <c r="C282" t="str">
        <v>-</v>
      </c>
      <c r="D282" t="str">
        <v>Full inventory state backed up.</v>
      </c>
    </row>
    <row r="283">
      <c r="A283" t="str">
        <v>2026-02-16T11:02:46.359Z</v>
      </c>
      <c r="B283" t="str">
        <v>EXPORT REPORT</v>
      </c>
      <c r="C283" t="str">
        <v>-</v>
      </c>
      <c r="D283" t="str">
        <v>Human-readable report exported.</v>
      </c>
    </row>
    <row r="284">
      <c r="A284" t="str">
        <v>2026-02-16T11:02:20.220Z</v>
      </c>
      <c r="B284" t="str">
        <v>PRINT</v>
      </c>
      <c r="C284" t="str">
        <v>-</v>
      </c>
      <c r="D284" t="str">
        <v>Inventory count sheet printed.</v>
      </c>
    </row>
    <row r="285">
      <c r="A285" t="str">
        <v>2026-02-16T11:01:51.936Z</v>
      </c>
      <c r="B285" t="str">
        <v>PRINT</v>
      </c>
      <c r="C285" t="str">
        <v>-</v>
      </c>
      <c r="D285" t="str">
        <v>Inventory count sheet printed.</v>
      </c>
    </row>
    <row r="286">
      <c r="A286" t="str">
        <v>2026-02-16T11:01:10.174Z</v>
      </c>
      <c r="B286" t="str">
        <v>BULK WITHDRAW</v>
      </c>
      <c r="C286" t="str">
        <v>31 items</v>
      </c>
      <c r="D286" t="str">
        <v>BAG-B21.50X29PE (-114,000), BAG-A23X42PE-G (-6,600), BAG-A25.5X32PE (-51,000), BAG-A26X45HD (-18,000), BAG-A27X37.50PE (-24,000), BAG-B17.5X34PE (-13,200), BAG-B18X30BPE (-36,000), BAG-B22.50X34PE (-24,000), LBL-COCL22G_NS (-48), LBL-CRPUA85G8_NS (-10), LBL-EHOPCF60G_NS (-5), LBL-EHOPCL24G_NS (-144), LBL-KYFL20G_NS (-10), LBL-KYFUA60G8_NS (-5), LBL-OFCUA90G8_NS (-13), LBL-OFKBA80G-800 (-10), LBL-OFKLF22G_NS (-127), LBL-OPCF60GH_NS (-28), LBL-OPCL24G_NS (-128), LBL-OSHKLK20G (-18), LBL-PFBM50G-H_NS (-36), LBL-PFUA90G-8_NS (-18), LBL-PFCBM50G_NS (-14), LBL-PFCUA90G-8_NS (-18), LBL-PFKBM50G-H_NS (-32), LBL-PFKLB21G_NS (-10), LBL-PFLB21G_NS (-10), LBL-RCBM50G_NS (-23), LBL-SOPCF60GH_NS (-10), LBL-OFCL24G-VL-ND (-144), LBL-CRPL24G-VL-ND (-528)</v>
      </c>
    </row>
    <row r="287">
      <c r="A287" t="str">
        <v>2026-02-16T10:50:05.314Z</v>
      </c>
      <c r="B287" t="str">
        <v>DELIVERY (BULK)</v>
      </c>
      <c r="C287" t="str">
        <v>BAG-B23X29.53W/HO</v>
      </c>
      <c r="D287" t="str">
        <v>+72,000 pcs</v>
      </c>
    </row>
    <row r="288">
      <c r="A288" t="str">
        <v>2026-02-16T10:49:13.412Z</v>
      </c>
      <c r="B288" t="str">
        <v>DELIVERY (BULK)</v>
      </c>
      <c r="C288" t="str">
        <v>LBL-OFKLF22G_NS</v>
      </c>
      <c r="D288" t="str">
        <v>+10 pcs</v>
      </c>
    </row>
    <row r="289">
      <c r="A289" t="str">
        <v>2026-02-16T10:49:13.293Z</v>
      </c>
      <c r="B289" t="str">
        <v>DELIVERY (BULK)</v>
      </c>
      <c r="C289" t="str">
        <v>LBL-PFLB21G_NS</v>
      </c>
      <c r="D289" t="str">
        <v>+213 pcs</v>
      </c>
    </row>
    <row r="290">
      <c r="A290" t="str">
        <v>2026-02-16T10:49:13.186Z</v>
      </c>
      <c r="B290" t="str">
        <v>DELIVERY (BULK)</v>
      </c>
      <c r="C290" t="str">
        <v>LBL-CRPUA85G8_NS</v>
      </c>
      <c r="D290" t="str">
        <v>+36 pcs</v>
      </c>
    </row>
    <row r="291">
      <c r="A291" t="str">
        <v>2026-02-15T18:19:15.944Z</v>
      </c>
      <c r="B291" t="str">
        <v>EXPORT REPORT</v>
      </c>
      <c r="C291" t="str">
        <v>-</v>
      </c>
      <c r="D291" t="str">
        <v>Human-readable report exported.</v>
      </c>
    </row>
    <row r="292">
      <c r="A292" t="str">
        <v>2026-02-15T18:19:11.886Z</v>
      </c>
      <c r="B292" t="str">
        <v>BACKUP</v>
      </c>
      <c r="C292" t="str">
        <v>-</v>
      </c>
      <c r="D292" t="str">
        <v>Full inventory state backed up.</v>
      </c>
    </row>
    <row r="293">
      <c r="A293" t="str">
        <v>2026-02-15T18:18:32.944Z</v>
      </c>
      <c r="B293" t="str">
        <v>EXPORT REPORT</v>
      </c>
      <c r="C293" t="str">
        <v>-</v>
      </c>
      <c r="D293" t="str">
        <v>Human-readable report exported.</v>
      </c>
    </row>
    <row r="294">
      <c r="A294" t="str">
        <v>2026-02-15T18:18:22.847Z</v>
      </c>
      <c r="B294" t="str">
        <v>BACKUP</v>
      </c>
      <c r="C294" t="str">
        <v>-</v>
      </c>
      <c r="D294" t="str">
        <v>Full inventory state backed up.</v>
      </c>
    </row>
    <row r="295">
      <c r="A295" t="str">
        <v>2026-02-15T18:17:21.890Z</v>
      </c>
      <c r="B295" t="str">
        <v>PRINT</v>
      </c>
      <c r="C295" t="str">
        <v>-</v>
      </c>
      <c r="D295" t="str">
        <v>Inventory count sheet printed.</v>
      </c>
    </row>
    <row r="296">
      <c r="A296" t="str">
        <v>2026-02-15T18:16:09.384Z</v>
      </c>
      <c r="B296" t="str">
        <v>BULK WITHDRAW</v>
      </c>
      <c r="C296" t="str">
        <v>9 items</v>
      </c>
      <c r="D296" t="str">
        <v>BAG-B10.50X12PP (-160,000), BAG-B18X30BPE (-147,300), BAG-B22.50X37PE (-24,000), LBL-CRPCHFA60G (-17), LBL-OFKBA80G-800 (-10), LBL-OORL16G_NS (-31), LBL-OPCL24G_NS (-52), LBL-OPSSUA80G8_NS (-12), LBL-RCBM50G_NS (-30)</v>
      </c>
    </row>
    <row r="297">
      <c r="A297" t="str">
        <v>2026-02-15T18:13:33.034Z</v>
      </c>
      <c r="B297" t="str">
        <v>EDIT ITEM</v>
      </c>
      <c r="C297" t="str">
        <v>LBL-RCSUA85G8_NS</v>
      </c>
      <c r="D297" t="str">
        <v>Qty: "7×18 | 5" -&gt; "8×18 | 23"</v>
      </c>
    </row>
    <row r="298">
      <c r="A298" t="str">
        <v>2026-02-15T18:13:13.122Z</v>
      </c>
      <c r="B298" t="str">
        <v>EDIT ITEM</v>
      </c>
      <c r="C298" t="str">
        <v>LBL-PSNKLS28G_NS</v>
      </c>
      <c r="D298" t="str">
        <v>Qty: "31 | 48" -&gt; "31 | 41"</v>
      </c>
    </row>
    <row r="299">
      <c r="A299" t="str">
        <v>2026-02-15T18:12:51.586Z</v>
      </c>
      <c r="B299" t="str">
        <v>EDIT ITEM</v>
      </c>
      <c r="C299" t="str">
        <v>LBL-PFLB21G_NS</v>
      </c>
      <c r="D299" t="str">
        <v>Qty: "4×48 | 15 | 48 | 3×48" -&gt; "4×48 | 15 | 3×48"</v>
      </c>
    </row>
    <row r="300">
      <c r="A300" t="str">
        <v>2026-02-15T18:12:35.522Z</v>
      </c>
      <c r="B300" t="str">
        <v>EDIT ITEM</v>
      </c>
      <c r="C300" t="str">
        <v>LBL-PFKLB21G_NS</v>
      </c>
      <c r="D300" t="str">
        <v>Qty: "2×48 | 30" -&gt; "48 | 56"</v>
      </c>
    </row>
    <row r="301">
      <c r="A301" t="str">
        <v>2026-02-15T18:12:13.874Z</v>
      </c>
      <c r="B301" t="str">
        <v>EDIT ITEM</v>
      </c>
      <c r="C301" t="str">
        <v>LBL-PFKBM50G-H_NS</v>
      </c>
      <c r="D301" t="str">
        <v>Qty: "2×27 | 9 | 3×27 | 3×27 | 9" -&gt; "8×27 | 9 | 9"</v>
      </c>
    </row>
    <row r="302">
      <c r="A302" t="str">
        <v>2026-02-15T18:11:45.994Z</v>
      </c>
      <c r="B302" t="str">
        <v>EDIT ITEM</v>
      </c>
      <c r="C302" t="str">
        <v>LBL-PFCBM50G_NS</v>
      </c>
      <c r="D302" t="str">
        <v>Qty: "8×27 | 18 | 2×27 | 2×27 | 25 | 3×27 | 16" -&gt; "14×27 | 5 | 3×27 "</v>
      </c>
    </row>
    <row r="303">
      <c r="A303" t="str">
        <v>2026-02-15T18:11:20.866Z</v>
      </c>
      <c r="B303" t="str">
        <v>EDIT ITEM</v>
      </c>
      <c r="C303" t="str">
        <v>LBL-OPSSUA80G8_NS</v>
      </c>
      <c r="D303" t="str">
        <v>Qty: "18 | 8 | 3×18 | 14" -&gt; "2x18 | 22 | 2×18 "</v>
      </c>
    </row>
    <row r="304">
      <c r="A304" t="str">
        <v>2026-02-15T18:10:44.913Z</v>
      </c>
      <c r="B304" t="str">
        <v>EDIT ITEM</v>
      </c>
      <c r="C304" t="str">
        <v>LBL-OORXS5G-E_NS</v>
      </c>
      <c r="D304" t="str">
        <v>Qty: "7×96 | 79 | 97 | 91" -&gt; "8×96 | 80 | 91"</v>
      </c>
    </row>
    <row r="305">
      <c r="A305" t="str">
        <v>2026-02-15T18:10:03.849Z</v>
      </c>
      <c r="B305" t="str">
        <v>EDIT ITEM</v>
      </c>
      <c r="C305" t="str">
        <v>LBL-OFKLF22G_NS</v>
      </c>
      <c r="D305" t="str">
        <v>Qty: "9×36 | 21 | 42" -&gt; "10×36 | 48 | 3"</v>
      </c>
    </row>
    <row r="306">
      <c r="A306" t="str">
        <v>2026-02-15T18:09:01.625Z</v>
      </c>
      <c r="B306" t="str">
        <v>EDIT ITEM</v>
      </c>
      <c r="C306" t="str">
        <v>LBL-OFCUA90G8_NS</v>
      </c>
      <c r="D306" t="str">
        <v>Qty: "3×18 | 5" -&gt; "2×18 | 23"</v>
      </c>
    </row>
    <row r="307">
      <c r="A307" t="str">
        <v>2026-02-15T18:08:47.753Z</v>
      </c>
      <c r="B307" t="str">
        <v>EDIT ITEM</v>
      </c>
      <c r="C307" t="str">
        <v>LBL-OFCL24G-VL-ND</v>
      </c>
      <c r="D307" t="str">
        <v>Qty: "15×48 | 18 | 49" -&gt; "16×48 | 19"</v>
      </c>
    </row>
    <row r="308">
      <c r="A308" t="str">
        <v>2026-02-15T18:08:31.977Z</v>
      </c>
      <c r="B308" t="str">
        <v>EDIT ITEM</v>
      </c>
      <c r="C308" t="str">
        <v>LBL-KYFUA60G8_NS</v>
      </c>
      <c r="D308" t="str">
        <v>Qty: "7×18 | 18" -&gt; "8×18"</v>
      </c>
    </row>
    <row r="309">
      <c r="A309" t="str">
        <v>2026-02-15T18:08:12.881Z</v>
      </c>
      <c r="B309" t="str">
        <v>EDIT ITEM</v>
      </c>
      <c r="C309" t="str">
        <v>LBL-CRPUA85G8_NS</v>
      </c>
      <c r="D309" t="str">
        <v>Qty: "5 | 12×18 | 12" -&gt; "5 | 14×18 | 12"</v>
      </c>
    </row>
    <row r="310">
      <c r="A310" t="str">
        <v>2026-02-15T18:07:47.345Z</v>
      </c>
      <c r="B310" t="str">
        <v>EDIT ITEM</v>
      </c>
      <c r="C310" t="str">
        <v>LBL-CRPL24G-VL-ND</v>
      </c>
      <c r="D310" t="str">
        <v>Qty: "4×48 | 45 | 42×48 | 1 | 4×48" -&gt; "8×48 | 46 | 42×48"</v>
      </c>
    </row>
    <row r="311">
      <c r="A311" t="str">
        <v>2026-02-15T18:07:14.009Z</v>
      </c>
      <c r="B311" t="str">
        <v>EDIT ITEM</v>
      </c>
      <c r="C311" t="str">
        <v>BUNDLES-44X60</v>
      </c>
      <c r="D311" t="str">
        <v>Qty: "3×6400 | 1300" -&gt; "3×6400 | 1400"</v>
      </c>
    </row>
    <row r="312">
      <c r="A312" t="str">
        <v>2026-02-15T18:06:58.641Z</v>
      </c>
      <c r="B312" t="str">
        <v>EDIT ITEM</v>
      </c>
      <c r="C312" t="str">
        <v>BAG-B23X29.53W/HO</v>
      </c>
      <c r="D312" t="str">
        <v>Qty: "2×24000 | 19200 | 2×24000 | 6000 | 4×24000 | 10800" -&gt; "2×24000 | 19200 | 2×24000 | 6000 | 4×24000 | 10800"</v>
      </c>
    </row>
    <row r="313">
      <c r="A313" t="str">
        <v>2026-02-15T18:04:39.481Z</v>
      </c>
      <c r="B313" t="str">
        <v>EDIT ITEM</v>
      </c>
      <c r="C313" t="str">
        <v>BAG-B22.50X37PE</v>
      </c>
      <c r="D313" t="str">
        <v>Qty: "6×24000 | 3000 | 21000" -&gt; "6×24000 | 21000 | 21000"</v>
      </c>
    </row>
    <row r="314">
      <c r="A314" t="str">
        <v>2026-02-15T18:04:19.121Z</v>
      </c>
      <c r="B314" t="str">
        <v>EDIT ITEM</v>
      </c>
      <c r="C314" t="str">
        <v>BAG-B22.50X34PE</v>
      </c>
      <c r="D314" t="str">
        <v>Qty: "8×24000 | 11×24000 | 3×24000 | 13500" -&gt; "9×24000 | 13×24000 | 13500"</v>
      </c>
    </row>
    <row r="315">
      <c r="A315" t="str">
        <v>2026-02-15T18:03:40.185Z</v>
      </c>
      <c r="B315" t="str">
        <v>EDIT ITEM</v>
      </c>
      <c r="C315" t="str">
        <v>BAG-B21.50X29PE</v>
      </c>
      <c r="D315" t="str">
        <v>Qty: "13×24000 | 21000 | 26×24000 | 22500 | 10×24000 | 11100 | 6×24000 | 27000" -&gt; "50×24000 | 27000 | 5×24000 | 12000 | 18900 | 15600 | 11100"</v>
      </c>
    </row>
    <row r="316">
      <c r="A316" t="str">
        <v>2026-02-15T18:02:09.601Z</v>
      </c>
      <c r="B316" t="str">
        <v>EDIT ITEM</v>
      </c>
      <c r="C316" t="str">
        <v>BAG-B20.87X31.89FH</v>
      </c>
      <c r="D316" t="str">
        <v>Qty: "18300 | 6×24000 | 26400 | 24000 | 3000 | 13200 | 19500" -&gt; "6×24000 | 26400 | 24000 | 21300 | 13200 | 19500"</v>
      </c>
    </row>
    <row r="317">
      <c r="A317" t="str">
        <v>2026-02-15T17:59:30.344Z</v>
      </c>
      <c r="B317" t="str">
        <v>EDIT ITEM</v>
      </c>
      <c r="C317" t="str">
        <v>BAG-B18X30BPE</v>
      </c>
      <c r="D317" t="str">
        <v>Qty: "18×36000 | 9×36000 | 24300 | 15000" -&gt; "18×36000 | 9×36000 | 24300 | 15000"</v>
      </c>
    </row>
    <row r="318">
      <c r="A318" t="str">
        <v>2026-02-15T17:59:16.752Z</v>
      </c>
      <c r="B318" t="str">
        <v>EDIT ITEM</v>
      </c>
      <c r="C318" t="str">
        <v>BAG-B18X30BPE</v>
      </c>
      <c r="D318" t="str">
        <v>Qty: "18×36000 | 3×36000 | 24000 | 6×36000 | 15000" -&gt; "18×36000 | 9×36000 | 24300 | 15000"</v>
      </c>
    </row>
    <row r="319">
      <c r="A319" t="str">
        <v>2026-02-15T17:58:16.696Z</v>
      </c>
      <c r="B319" t="str">
        <v>EDIT ITEM</v>
      </c>
      <c r="C319" t="str">
        <v>BAG-B15.50X42PE</v>
      </c>
      <c r="D319" t="str">
        <v>Qty: "36000 | 25500 | 10800 | 7×27000 | 4×27000 | 3300" -&gt; "2x36000 | 10×27000 | 3300"</v>
      </c>
    </row>
    <row r="320">
      <c r="A320" t="str">
        <v>2026-02-15T17:57:29.664Z</v>
      </c>
      <c r="B320" t="str">
        <v>EDIT ITEM</v>
      </c>
      <c r="C320" t="str">
        <v>BAG-B15.50X23PE</v>
      </c>
      <c r="D320" t="str">
        <v>Qty: "2×36000 | 34200" -&gt; "3×36000 | 11700 l 16200 l 10800"</v>
      </c>
    </row>
    <row r="321">
      <c r="A321" t="str">
        <v>2026-02-15T17:55:39.776Z</v>
      </c>
      <c r="B321" t="str">
        <v>EDIT ITEM</v>
      </c>
      <c r="C321" t="str">
        <v>BAG-A27X42PE</v>
      </c>
      <c r="D321" t="str">
        <v>Qty: "11100 | 3×18000 | 16200" -&gt; "11100 | 3×18000 | 16200"</v>
      </c>
    </row>
    <row r="322">
      <c r="A322" t="str">
        <v>2026-02-15T17:55:25.536Z</v>
      </c>
      <c r="B322" t="str">
        <v>EDIT ITEM</v>
      </c>
      <c r="C322" t="str">
        <v>BAG-A27X42PE</v>
      </c>
      <c r="D322" t="str">
        <v>Qty: "7700 | 8400 | 18000 | 11100 | 2×18000 | 16200" -&gt; "11100 | 3×18000 | 16200"</v>
      </c>
    </row>
    <row r="323">
      <c r="A323" t="str">
        <v>2026-02-15T17:55:06.824Z</v>
      </c>
      <c r="B323" t="str">
        <v>EDIT ITEM</v>
      </c>
      <c r="C323" t="str">
        <v>BAG-A27X37.50PE</v>
      </c>
      <c r="D323" t="str">
        <v>Qty: "5×24000 | 9600 | 5400 | 16800 | 3000 | 5900" -&gt; "5×24000 | 9600 | 5400 | 16800 | 3000 | 5900"</v>
      </c>
    </row>
    <row r="324">
      <c r="A324" t="str">
        <v>2026-02-15T17:54:55.776Z</v>
      </c>
      <c r="B324" t="str">
        <v>EDIT ITEM</v>
      </c>
      <c r="C324" t="str">
        <v>BAG-A27X37.50PE</v>
      </c>
      <c r="D324" t="str">
        <v>Qty: "2×24000 | 16800 | 3000 | 5900 | 2×24000 | 9000 | 24000 | 5400" -&gt; "5×24000 | 9600 | 5400 | 16800 | 3000 | 5900"</v>
      </c>
    </row>
    <row r="325">
      <c r="A325" t="str">
        <v>2026-02-15T17:54:04.575Z</v>
      </c>
      <c r="B325" t="str">
        <v>EDIT ITEM</v>
      </c>
      <c r="C325" t="str">
        <v>BAG-A26X45HD</v>
      </c>
      <c r="D325" t="str">
        <v>Qty: "2×24000 | 19200 | 600" -&gt; "2×19200 | 24000 | 6600"</v>
      </c>
    </row>
    <row r="326">
      <c r="A326" t="str">
        <v>2026-02-15T17:53:17.952Z</v>
      </c>
      <c r="B326" t="str">
        <v>EDIT ITEM</v>
      </c>
      <c r="C326" t="str">
        <v>BAG-A26X32.50PE</v>
      </c>
      <c r="D326" t="str">
        <v>Qty: "2×24000 | 7600 | 13×24000 | 10×24000" -&gt; "4×24000 | 3000 l 4600 | 11×24000 | 10×24000"</v>
      </c>
    </row>
    <row r="327">
      <c r="A327" t="str">
        <v>2026-02-15T17:52:30.913Z</v>
      </c>
      <c r="B327" t="str">
        <v>EDIT ITEM</v>
      </c>
      <c r="C327" t="str">
        <v>BAG-A25.5X32PE</v>
      </c>
      <c r="D327" t="str">
        <v>Qty: "5×24000 | 3000 | 14700 | 2100 | 10×24000 | 15900 | 9600" -&gt; "6×24000 | 12900 | 14×24000"</v>
      </c>
    </row>
    <row r="328">
      <c r="A328" t="str">
        <v>2026-02-15T17:51:41.551Z</v>
      </c>
      <c r="B328" t="str">
        <v>EDIT ITEM</v>
      </c>
      <c r="C328" t="str">
        <v>BAG-A25.5X32PE</v>
      </c>
      <c r="D328" t="str">
        <v>Qty: "4×24000 | 6000 | 3600 | 14700 | 5×24000 | 20100 | 14700 | 5×24000 | 9600" -&gt; "5×24000 | 3000 | 14700 | 2100 | 10×24000 | 15900 | 9600"</v>
      </c>
    </row>
    <row r="329">
      <c r="A329" t="str">
        <v>2026-02-15T17:49:57.023Z</v>
      </c>
      <c r="B329" t="str">
        <v>EDIT ITEM</v>
      </c>
      <c r="C329" t="str">
        <v>BAG-A22X30PEW/FLAP</v>
      </c>
      <c r="D329" t="str">
        <v>Qty: "2×24000 | 12300 | 9900 | 2×24000" -&gt; "4×24000 | 12600 | 9600"</v>
      </c>
    </row>
    <row r="330">
      <c r="A330" t="str">
        <v>2026-02-15T17:49:24.327Z</v>
      </c>
      <c r="B330" t="str">
        <v>EDIT ITEM</v>
      </c>
      <c r="C330" t="str">
        <v>BAG-A20.5X45PE</v>
      </c>
      <c r="D330" t="str">
        <v>Qty: "4×24000 | 13100 | 4×24000 | 10900" -&gt; "4×24000 | 6×24000"</v>
      </c>
    </row>
    <row r="331">
      <c r="A331" t="str">
        <v>2026-02-15T17:48:18.167Z</v>
      </c>
      <c r="B331" t="str">
        <v>EDIT ITEM</v>
      </c>
      <c r="C331" t="str">
        <v>BAG-A19.5X35PE</v>
      </c>
      <c r="D331" t="str">
        <v>Qty: "10×24000 | 22350 | 12×24000 | 7200 | 9000 | 7200" -&gt; "11×24000 | 6750 | 12×24000 "</v>
      </c>
    </row>
    <row r="332">
      <c r="A332" t="str">
        <v>2026-02-15T09:41:39.379Z</v>
      </c>
      <c r="B332" t="str">
        <v>EXPORT REPORT</v>
      </c>
      <c r="C332" t="str">
        <v>-</v>
      </c>
      <c r="D332" t="str">
        <v>Human-readable report exported.</v>
      </c>
    </row>
    <row r="333">
      <c r="A333" t="str">
        <v>2026-02-15T09:40:30.072Z</v>
      </c>
      <c r="B333" t="str">
        <v>PRINT</v>
      </c>
      <c r="C333" t="str">
        <v>-</v>
      </c>
      <c r="D333" t="str">
        <v>Inventory count sheet printed.</v>
      </c>
    </row>
    <row r="334">
      <c r="A334" t="str">
        <v>2026-02-15T09:36:21.012Z</v>
      </c>
      <c r="B334" t="str">
        <v>PRINT</v>
      </c>
      <c r="C334" t="str">
        <v>-</v>
      </c>
      <c r="D334" t="str">
        <v>Inventory count sheet printed.</v>
      </c>
    </row>
    <row r="335">
      <c r="A335" t="str">
        <v>2026-02-15T08:14:28.254Z</v>
      </c>
      <c r="B335" t="str">
        <v>BULK WITHDRAW</v>
      </c>
      <c r="C335" t="str">
        <v>7 items</v>
      </c>
      <c r="D335" t="str">
        <v>BAG-A26.5X37.5PE (-24,000), BAG-B22.50X37PE (-18,000), LBL-OFKBA80G-800 (-6), LBL-OFKLF22G_NS (-24), LBL-OORL16G_NS (-24), LBL-OPCL24G_NS (-48), LBL-CRPL24G-VL-ND (-48)</v>
      </c>
    </row>
    <row r="336">
      <c r="A336" t="str">
        <v>2026-02-15T08:11:40.554Z</v>
      </c>
      <c r="B336" t="str">
        <v>BULK WITHDRAW</v>
      </c>
      <c r="C336" t="str">
        <v>3 items</v>
      </c>
      <c r="D336" t="str">
        <v>BAG-B22.50X34PE (-22,200), BAG-B22.50X37PE (-18,000), LBL-OFKLF22G_NS (-24)</v>
      </c>
    </row>
    <row r="337">
      <c r="A337" t="str">
        <v>2026-02-15T08:09:30.794Z</v>
      </c>
      <c r="B337" t="str">
        <v>DELIVERY (BULK)</v>
      </c>
      <c r="C337" t="str">
        <v>LBL-PFLB21G_NS</v>
      </c>
      <c r="D337" t="str">
        <v>+144 pcs</v>
      </c>
    </row>
    <row r="338">
      <c r="A338" t="str">
        <v>2026-02-15T08:09:30.704Z</v>
      </c>
      <c r="B338" t="str">
        <v>DELIVERY (BULK)</v>
      </c>
      <c r="C338" t="str">
        <v>LBL-PFCUA90G-8_NS</v>
      </c>
      <c r="D338" t="str">
        <v>+180 pcs</v>
      </c>
    </row>
    <row r="339">
      <c r="A339" t="str">
        <v>2026-02-15T08:09:30.615Z</v>
      </c>
      <c r="B339" t="str">
        <v>DELIVERY (BULK)</v>
      </c>
      <c r="C339" t="str">
        <v>LBL-PFLB21G_NS</v>
      </c>
      <c r="D339" t="str">
        <v>+48 pcs</v>
      </c>
    </row>
    <row r="340">
      <c r="A340" t="str">
        <v>2026-02-15T08:09:30.518Z</v>
      </c>
      <c r="B340" t="str">
        <v>DELIVERY (BULK)</v>
      </c>
      <c r="C340" t="str">
        <v>LBL-CRPUA85G8_NS</v>
      </c>
      <c r="D340" t="str">
        <v>+228 pcs</v>
      </c>
    </row>
    <row r="341">
      <c r="A341" t="str">
        <v>2026-02-14T22:47:32.090Z</v>
      </c>
      <c r="B341" t="str">
        <v>BULK WITHDRAW</v>
      </c>
      <c r="C341" t="str">
        <v>8 items</v>
      </c>
      <c r="D341" t="str">
        <v>BAG-A26X32.50PE (-24,000), LBL-EHOPCF60G_NS (-4), LBL-OFKLF22G_NS (-48), LBL-OPCSEPS60G_NS (-7), LBL-OPSSUA80G8_NS (-12), LBL-PFLB21G_NS (-48), LBL-OFCL24G-VL-ND (-30), LBL-CRPL24G-VL-ND (-48)</v>
      </c>
    </row>
    <row r="342">
      <c r="A342" t="str">
        <v>2026-02-14T22:45:16.329Z</v>
      </c>
      <c r="B342" t="str">
        <v>BULK WITHDRAW</v>
      </c>
      <c r="C342" t="str">
        <v>4 items</v>
      </c>
      <c r="D342" t="str">
        <v>BAG-A22.50X39PE (-24,000), BAG-A26X45HD (-24,000), BAG-B18X30BPE (-36,000), LBL-RCBM50G_NS (-18)</v>
      </c>
    </row>
    <row r="343">
      <c r="A343" t="str">
        <v>2026-02-14T22:44:31.427Z</v>
      </c>
      <c r="B343" t="str">
        <v>BULK WITHDRAW</v>
      </c>
      <c r="C343" t="str">
        <v>19 items</v>
      </c>
      <c r="D343" t="str">
        <v>BAG-A22X30PEW/FLAP (-24,000), BAG-B23X29.53W/HO (-24,000), BAG-A26X32.50PE (-24,000), BAG-B20.87X31.89FH (-5,700), LBL-EHOPCUA90G8_NS (-30), LBL-KYFL20G_NS (-12), LBL-KYFUA60G8_NS (-18), LBL-OFCUA90G8_NS (-18), LBL-OFKBA80G-800 (-18), LBL-OFKLF22G_NS (-36), LBL-OORXS5G-E_NS (-46), LBL-PFUA90G-8_NS (-13), LBL-PFCBM50G_NS (-36), LBL-PFKBM50G-H_NS (-18), LBL-PFKLB21G_NS (-72), LBL-RCBM50G_NS (-27), LBL-RCL24G_NS (-24), LBL-OFCL24G-VL-ND (-48), LBL-CRPL24G-VL-ND (-48)</v>
      </c>
    </row>
    <row r="344">
      <c r="A344" t="str">
        <v>2026-02-14T22:40:56.942Z</v>
      </c>
      <c r="B344" t="str">
        <v>BULK WITHDRAW</v>
      </c>
      <c r="C344" t="str">
        <v>11 items</v>
      </c>
      <c r="D344" t="str">
        <v>BAG-B21.50X29PE (-24,000), BAG-A26X32.50PE (-24,000), LBL-COCL22G_NS (-20), LBL-EHOPCF60G_NS (-41), LBL-EHOPCL24G_NS (-118), LBL-KYFUA60G8_NS (-17), LBL-OPCL24G_NS (-20), LBL-RCL24G_NS (-48), LBL-RCSUA85G8_NS (-5), LBL-OFCL24G-VL-ND (-240), LBL-CRPL24G-VL-ND (-100)</v>
      </c>
    </row>
    <row r="345">
      <c r="A345" t="str">
        <v>2026-02-14T22:37:19.414Z</v>
      </c>
      <c r="B345" t="str">
        <v>BULK WITHDRAW</v>
      </c>
      <c r="C345" t="str">
        <v>14 items</v>
      </c>
      <c r="D345" t="str">
        <v>LBL-EHOPCL24G_NS (-52), LBL-EHOPCUA90G8_NS (-41), LBL-KYFL20G_NS (-48), LBL-SKYFL20G_NS (-54), LBL-KYFUA60G8_NS (-18), LBL-OFKBA80G-800 (-18), LBL-OFKLF22G_NS (-36), LBL-OORL16G_NS (-48), LBL-PFUA90G-8_NS (-26), LBL-PFKBM50G-H_NS (-27), LBL-RCL24G_NS (-48), LBL-RCSUA85G8_NS (-18), LBL-SOPCF60GH_NS (-12), LBL-SSCL24G_NS (-48)</v>
      </c>
    </row>
    <row r="346">
      <c r="A346" t="str">
        <v>2026-02-14T22:33:10.354Z</v>
      </c>
      <c r="B346" t="str">
        <v>BULK WITHDRAW</v>
      </c>
      <c r="C346" t="str">
        <v>18 items</v>
      </c>
      <c r="D346" t="str">
        <v>BAG-A19.5X35PE (-57,000), BAG-A20.5X45PE (-1,200), BAG-A22.50X39PE (-1,800), BAG-B21.50X29PE (-315,000), BAG-A22X30PE (-3,000), BAG-B23X29.53W/HO (-60,000), BAG-A26X30HD (-900), BAG-A26X32.50PE (-21,000), BAG-A25.5X32PE (-75,000), BAG-A26X45HD (-10,200), BAG-A26.5X37.5PE (-21,000), BAG-B10.50X12PP (-50,000), BAG-B15.50X23PE (-13,500), BAG-B15.50X42PE (-1,800), BAG-B18X30BPE (-24,000), BAG-B20.87X31.89FH (-15,000), BAG-B22.50X37PE (-6,000), BUNDLES-44X60 (-5,000)</v>
      </c>
    </row>
    <row r="347">
      <c r="A347" t="str">
        <v>2026-02-14T22:28:27.955Z</v>
      </c>
      <c r="B347" t="str">
        <v>BULK WITHDRAW</v>
      </c>
      <c r="C347" t="str">
        <v>23 items</v>
      </c>
      <c r="D347" t="str">
        <v>BAG-A19.5X35PE (-15,000), BAG-A20.5X45PE (-34,900), BAG-B21.50X29PE (-24,000), BAG-A23X42PE-G (-19,200), BAG-A25.5X32PE (-135,000), BAG-A26.5X37.5PE (-24,000), BAG-A27X37.50PE (-24,000), BAG-B10.50X12PP (-10,000), BAG-B15.50X42PE (-30,000), BAG-B18X30BPE (-12,000), BAG-B22.50X34PE (-24,000), LBL-EHOPCL24G_NS (-48), LBL-KYFL20G_NS (-70), LBL-KYFUA60G8E_NS (-61), LBL-OFKBA80G-800 (-10), LBL-OFKLF22G_NS (-24), LBL-OORL16G_NS (-10), LBL-PFBM50G-H_NS (-26), LBL-PFBM50EXP_NS (-90), LBL-PFUA90G-8_NS (-18), LBL-RCL24G_NS (-48), LBL-RCSUA85G8_NS (-61), LBL-SSCL24G_NS (-24)</v>
      </c>
    </row>
    <row r="348">
      <c r="A348" t="str">
        <v>2026-02-14T22:21:05.784Z</v>
      </c>
      <c r="B348" t="str">
        <v>DELIVERY (BULK)</v>
      </c>
      <c r="C348" t="str">
        <v>BAG-B23X29.53W/HO</v>
      </c>
      <c r="D348" t="str">
        <v>+106,800 pcs</v>
      </c>
    </row>
    <row r="349">
      <c r="A349" t="str">
        <v>2026-02-14T22:21:05.701Z</v>
      </c>
      <c r="B349" t="str">
        <v>DELIVERY (BULK)</v>
      </c>
      <c r="C349" t="str">
        <v>BAG-B21.50X29PE</v>
      </c>
      <c r="D349" t="str">
        <v>+27,000 pcs</v>
      </c>
    </row>
    <row r="350">
      <c r="A350" t="str">
        <v>2026-02-14T22:21:05.563Z</v>
      </c>
      <c r="B350" t="str">
        <v>DELIVERY (BULK)</v>
      </c>
      <c r="C350" t="str">
        <v>BAG-B22.50X37PE</v>
      </c>
      <c r="D350" t="str">
        <v>+21,000 pcs</v>
      </c>
    </row>
    <row r="351">
      <c r="A351" t="str">
        <v>2026-02-14T22:21:05.460Z</v>
      </c>
      <c r="B351" t="str">
        <v>DELIVERY (BULK)</v>
      </c>
      <c r="C351" t="str">
        <v>BAG-B21.50X29PE</v>
      </c>
      <c r="D351" t="str">
        <v>+144,000 pcs</v>
      </c>
    </row>
    <row r="352">
      <c r="A352" t="str">
        <v>2026-02-14T22:21:05.366Z</v>
      </c>
      <c r="B352" t="str">
        <v>DELIVERY (BULK)</v>
      </c>
      <c r="C352" t="str">
        <v>BAG-A25.5X32PE</v>
      </c>
      <c r="D352" t="str">
        <v>+129,600 pcs</v>
      </c>
    </row>
    <row r="353">
      <c r="A353" t="str">
        <v>2026-02-14T22:21:05.280Z</v>
      </c>
      <c r="B353" t="str">
        <v>DELIVERY (BULK)</v>
      </c>
      <c r="C353" t="str">
        <v>BAG-B18X30BPE</v>
      </c>
      <c r="D353" t="str">
        <v>+231,000 pcs</v>
      </c>
    </row>
    <row r="354">
      <c r="A354" t="str">
        <v>2026-02-14T22:21:05.203Z</v>
      </c>
      <c r="B354" t="str">
        <v>DELIVERY (BULK)</v>
      </c>
      <c r="C354" t="str">
        <v>BAG-B22.50X34PE</v>
      </c>
      <c r="D354" t="str">
        <v>+85,500 pcs</v>
      </c>
    </row>
    <row r="355">
      <c r="A355" t="str">
        <v>2026-02-14T22:21:05.076Z</v>
      </c>
      <c r="B355" t="str">
        <v>DELIVERY (BULK)</v>
      </c>
      <c r="C355" t="str">
        <v>BAG-B23X29.53W/HO</v>
      </c>
      <c r="D355" t="str">
        <v>+54,000 pcs</v>
      </c>
    </row>
    <row r="356">
      <c r="A356" t="str">
        <v>2026-02-14T22:21:04.964Z</v>
      </c>
      <c r="B356" t="str">
        <v>DELIVERY (BULK)</v>
      </c>
      <c r="C356" t="str">
        <v>BAG-B20.87X31.89FH</v>
      </c>
      <c r="D356" t="str">
        <v>+19,500 pcs</v>
      </c>
    </row>
    <row r="357">
      <c r="A357" t="str">
        <v>2026-02-14T22:21:04.874Z</v>
      </c>
      <c r="B357" t="str">
        <v>DELIVERY (BULK)</v>
      </c>
      <c r="C357" t="str">
        <v>BAG-A27X42PE</v>
      </c>
      <c r="D357" t="str">
        <v>+52,200 pcs</v>
      </c>
    </row>
    <row r="358">
      <c r="A358" t="str">
        <v>2026-02-14T22:21:04.783Z</v>
      </c>
      <c r="B358" t="str">
        <v>DELIVERY (BULK)</v>
      </c>
      <c r="C358" t="str">
        <v>BAG-A27X37.50PE</v>
      </c>
      <c r="D358" t="str">
        <v>+29,400 pcs</v>
      </c>
    </row>
    <row r="359">
      <c r="A359" t="str">
        <v>2026-02-14T22:21:04.689Z</v>
      </c>
      <c r="B359" t="str">
        <v>DELIVERY (BULK)</v>
      </c>
      <c r="C359" t="str">
        <v>BAG-A25.5X32PE</v>
      </c>
      <c r="D359" t="str">
        <v>+14,700 pcs</v>
      </c>
    </row>
    <row r="360">
      <c r="A360" t="str">
        <v>2026-02-14T22:21:04.586Z</v>
      </c>
      <c r="B360" t="str">
        <v>DELIVERY (BULK)</v>
      </c>
      <c r="C360" t="str">
        <v>BAG-B21.50X29PE</v>
      </c>
      <c r="D360" t="str">
        <v>+251,100 pcs</v>
      </c>
    </row>
    <row r="361">
      <c r="A361" t="str">
        <v>2026-02-14T22:21:04.482Z</v>
      </c>
      <c r="B361" t="str">
        <v>DELIVERY (BULK)</v>
      </c>
      <c r="C361" t="str">
        <v>BAG-A27X37.50PE</v>
      </c>
      <c r="D361" t="str">
        <v>+57,000 pcs</v>
      </c>
    </row>
    <row r="362">
      <c r="A362" t="str">
        <v>2026-02-14T22:13:19.266Z</v>
      </c>
      <c r="B362" t="str">
        <v>DELIVERY (BULK)</v>
      </c>
      <c r="C362" t="str">
        <v>BAG-A22X30PEW/FLAP</v>
      </c>
      <c r="D362" t="str">
        <v>+48,000 pcs</v>
      </c>
    </row>
    <row r="363">
      <c r="A363" t="str">
        <v>2026-02-14T22:10:45.585Z</v>
      </c>
      <c r="B363" t="str">
        <v>DELIVERY (BULK)</v>
      </c>
      <c r="C363" t="str">
        <v>LBL-PFKBM50G-H_NS</v>
      </c>
      <c r="D363" t="str">
        <v>+90 pcs</v>
      </c>
    </row>
    <row r="364">
      <c r="A364" t="str">
        <v>2026-02-14T22:09:14.671Z</v>
      </c>
      <c r="B364" t="str">
        <v>DELIVERY (BULK)</v>
      </c>
      <c r="C364" t="str">
        <v>LBL-PFLB21G_NS</v>
      </c>
      <c r="D364" t="str">
        <v>+255 pcs</v>
      </c>
    </row>
    <row r="365">
      <c r="A365" t="str">
        <v>2026-02-14T22:09:14.565Z</v>
      </c>
      <c r="B365" t="str">
        <v>DELIVERY (BULK)</v>
      </c>
      <c r="C365" t="str">
        <v>LBL-PFCBM50G_NS</v>
      </c>
      <c r="D365" t="str">
        <v>+97 pcs</v>
      </c>
    </row>
    <row r="366">
      <c r="A366" t="str">
        <v>2026-02-14T22:09:14.473Z</v>
      </c>
      <c r="B366" t="str">
        <v>DELIVERY (BULK)</v>
      </c>
      <c r="C366" t="str">
        <v>LBL-PFKBM50G-H_NS</v>
      </c>
      <c r="D366" t="str">
        <v>+81 pcs</v>
      </c>
    </row>
    <row r="367">
      <c r="A367" t="str">
        <v>2026-02-14T22:03:21.353Z</v>
      </c>
      <c r="B367" t="str">
        <v>DELIVERY (BULK)</v>
      </c>
      <c r="C367" t="str">
        <v>LBL-PFKBM50G-H_NS</v>
      </c>
      <c r="D367" t="str">
        <v>+108 pcs</v>
      </c>
    </row>
    <row r="368">
      <c r="A368" t="str">
        <v>2026-02-14T22:03:21.263Z</v>
      </c>
      <c r="B368" t="str">
        <v>DELIVERY (BULK)</v>
      </c>
      <c r="C368" t="str">
        <v>LBL-PFCBM50G_NS</v>
      </c>
      <c r="D368" t="str">
        <v>+79 pcs</v>
      </c>
    </row>
    <row r="369">
      <c r="A369" t="str">
        <v>2026-02-14T22:03:21.169Z</v>
      </c>
      <c r="B369" t="str">
        <v>DELIVERY (BULK)</v>
      </c>
      <c r="C369" t="str">
        <v>LBL-PFCBM50G_NS</v>
      </c>
      <c r="D369" t="str">
        <v>+54 pcs</v>
      </c>
    </row>
    <row r="370">
      <c r="A370" t="str">
        <v>2026-02-11T16:16:27.888Z</v>
      </c>
      <c r="B370" t="str">
        <v>EXPORT REPORT</v>
      </c>
      <c r="C370" t="str">
        <v>-</v>
      </c>
      <c r="D370" t="str">
        <v>Human-readable report exported.</v>
      </c>
    </row>
    <row r="371">
      <c r="A371" t="str">
        <v>2026-02-11T16:16:11.899Z</v>
      </c>
      <c r="B371" t="str">
        <v>BACKUP</v>
      </c>
      <c r="C371" t="str">
        <v>-</v>
      </c>
      <c r="D371" t="str">
        <v>Full inventory state backed up.</v>
      </c>
    </row>
    <row r="372">
      <c r="A372" t="str">
        <v>2026-02-11T16:15:16.222Z</v>
      </c>
      <c r="B372" t="str">
        <v>PRINT</v>
      </c>
      <c r="C372" t="str">
        <v>-</v>
      </c>
      <c r="D372" t="str">
        <v>Inventory count sheet printed.</v>
      </c>
    </row>
    <row r="373">
      <c r="A373" t="str">
        <v>2026-02-11T16:14:48.453Z</v>
      </c>
      <c r="B373" t="str">
        <v>EDIT ITEM</v>
      </c>
      <c r="C373" t="str">
        <v>LBL-KYFUA60G8_NS</v>
      </c>
      <c r="D373" t="str">
        <v>Qty: "13 | 3×18 | 7×18 | 4" -&gt; "9×18 | 13 l 22"</v>
      </c>
    </row>
    <row r="374">
      <c r="A374" t="str">
        <v>2026-02-11T16:14:19.454Z</v>
      </c>
      <c r="B374" t="str">
        <v>EDIT ITEM</v>
      </c>
      <c r="C374" t="str">
        <v>LBL-KYFL20G_NS</v>
      </c>
      <c r="D374" t="str">
        <v>Qty: "48 | 36 | 3×48 | 14" -&gt; "4x48 | 36 | 14"</v>
      </c>
    </row>
    <row r="375">
      <c r="A375" t="str">
        <v>2026-02-11T16:02:51.574Z</v>
      </c>
      <c r="B375" t="str">
        <v>PRINT</v>
      </c>
      <c r="C375" t="str">
        <v>-</v>
      </c>
      <c r="D375" t="str">
        <v>Inventory count sheet printed.</v>
      </c>
    </row>
    <row r="376">
      <c r="A376" t="str">
        <v>2026-02-11T16:02:00.293Z</v>
      </c>
      <c r="B376" t="str">
        <v>BULK WITHDRAW</v>
      </c>
      <c r="C376" t="str">
        <v>10 items</v>
      </c>
      <c r="D376" t="str">
        <v>LBL-KYFL20G_NS (-12), LBL-KYFUA60G8_NS (-18), LBL-MIGSWCL28G_NS (-44), LBL-MIGSWCUA105G (-11), LBL-OFKLF22G_NS (-36), LBL-OORL16G_NS (-12), LBL-OPSSUA80G8_NS (-12), LBL-PSNKLS28G_NS (-17), LBL-RCSUA85G8_NS (-24), LBL-SOPCUA90G8_NS (-27)</v>
      </c>
    </row>
    <row r="377">
      <c r="A377" t="str">
        <v>2026-02-11T15:59:04.690Z</v>
      </c>
      <c r="B377" t="str">
        <v>DELIVERY (BULK)</v>
      </c>
      <c r="C377" t="str">
        <v>LBL-KYFUA60G8_NS</v>
      </c>
      <c r="D377" t="str">
        <v>+130 pcs</v>
      </c>
    </row>
    <row r="378">
      <c r="A378" t="str">
        <v>2026-02-11T15:59:04.590Z</v>
      </c>
      <c r="B378" t="str">
        <v>DELIVERY (BULK)</v>
      </c>
      <c r="C378" t="str">
        <v>LBL-OFKLF22G_NS</v>
      </c>
      <c r="D378" t="str">
        <v>+42 pcs</v>
      </c>
    </row>
    <row r="379">
      <c r="A379" t="str">
        <v>2026-02-11T15:59:04.483Z</v>
      </c>
      <c r="B379" t="str">
        <v>DELIVERY (BULK)</v>
      </c>
      <c r="C379" t="str">
        <v>LBL-KYFL20G_NS</v>
      </c>
      <c r="D379" t="str">
        <v>+158 pcs</v>
      </c>
    </row>
    <row r="380">
      <c r="A380" t="str">
        <v>2026-02-11T09:43:38.738Z</v>
      </c>
      <c r="B380" t="str">
        <v>RESTORE</v>
      </c>
      <c r="C380" t="str">
        <v>-</v>
      </c>
      <c r="D380" t="str">
        <v>Full inventory state restored from backup_02-11-26_5-40-PM_DS.xlsx.</v>
      </c>
    </row>
    <row r="381">
      <c r="A381" t="str">
        <v>2026-02-11T08:07:23.100Z</v>
      </c>
      <c r="B381" t="str">
        <v>EDIT ITEM</v>
      </c>
      <c r="C381" t="str">
        <v>LBL-4XBQ-UA85G</v>
      </c>
      <c r="D381" t="str">
        <v>Qty: "3*18+9" -&gt; "3×18 | 9"</v>
      </c>
    </row>
    <row r="382">
      <c r="A382" t="str">
        <v>2026-02-11T08:07:15.901Z</v>
      </c>
      <c r="B382" t="str">
        <v>EDIT ITEM</v>
      </c>
      <c r="C382" t="str">
        <v>LBL-4XBQ-UA85G</v>
      </c>
      <c r="D382" t="str">
        <v>Qty: "" -&gt; "3*18+9"</v>
      </c>
    </row>
    <row r="383">
      <c r="A383" t="str">
        <v>2026-02-11T02:46:54.705Z</v>
      </c>
      <c r="B383" t="str">
        <v>PRINT</v>
      </c>
      <c r="C383" t="str">
        <v>-</v>
      </c>
      <c r="D383" t="str">
        <v>Inventory count sheet printed.</v>
      </c>
    </row>
    <row r="384">
      <c r="A384" t="str">
        <v>2026-02-10T17:25:53.601Z</v>
      </c>
      <c r="B384" t="str">
        <v>EXPORT REPORT</v>
      </c>
      <c r="C384" t="str">
        <v>-</v>
      </c>
      <c r="D384" t="str">
        <v>Human-readable report exported.</v>
      </c>
    </row>
    <row r="385">
      <c r="A385" t="str">
        <v>2026-02-10T17:25:36.540Z</v>
      </c>
      <c r="B385" t="str">
        <v>BACKUP</v>
      </c>
      <c r="C385" t="str">
        <v>-</v>
      </c>
      <c r="D385" t="str">
        <v>Full inventory state backed up.</v>
      </c>
    </row>
    <row r="386">
      <c r="A386" t="str">
        <v>2026-02-10T17:24:52.384Z</v>
      </c>
      <c r="B386" t="str">
        <v>PRINT</v>
      </c>
      <c r="C386" t="str">
        <v>-</v>
      </c>
      <c r="D386" t="str">
        <v>Inventory count sheet printed.</v>
      </c>
    </row>
    <row r="387">
      <c r="A387" t="str">
        <v>2026-02-10T17:23:39.869Z</v>
      </c>
      <c r="B387" t="str">
        <v>EDIT ITEM</v>
      </c>
      <c r="C387" t="str">
        <v>LBL-OPSSUA80G8_NS</v>
      </c>
      <c r="D387" t="str">
        <v>Qty: "2×18 | 12 | 2 | 3×18 | 14" -&gt; "2×18 | 14 | 3×18 | 14"</v>
      </c>
    </row>
    <row r="388">
      <c r="A388" t="str">
        <v>2026-02-10T17:23:18.813Z</v>
      </c>
      <c r="B388" t="str">
        <v>EDIT ITEM</v>
      </c>
      <c r="C388" t="str">
        <v>LBL-OORXS5G-E_NS</v>
      </c>
      <c r="D388" t="str">
        <v>Qty: "7×96 | 29 | 97  | 78 | 109" -&gt; "8×96 | 29 | 97 | 91"</v>
      </c>
    </row>
    <row r="389">
      <c r="A389" t="str">
        <v>2026-02-10T17:22:46.037Z</v>
      </c>
      <c r="B389" t="str">
        <v>EDIT ITEM</v>
      </c>
      <c r="C389" t="str">
        <v>LBL-OFCL24G-VL-ND</v>
      </c>
      <c r="D389" t="str">
        <v>Qty: "6×48 | 16×48 | 49 | 1" -&gt; "6×48 | 16×48 | 49 "</v>
      </c>
    </row>
    <row r="390">
      <c r="A390" t="str">
        <v>2026-02-10T17:22:23.278Z</v>
      </c>
      <c r="B390" t="str">
        <v>EDIT ITEM</v>
      </c>
      <c r="C390" t="str">
        <v>LBL-KYFUA60G8_NS</v>
      </c>
      <c r="D390" t="str">
        <v>Qty: "18 | 13 | 6×18" -&gt; "18 | 13 | 3×18"</v>
      </c>
    </row>
    <row r="391">
      <c r="A391" t="str">
        <v>2026-02-10T17:19:00.077Z</v>
      </c>
      <c r="B391" t="str">
        <v>EDIT ITEM</v>
      </c>
      <c r="C391" t="str">
        <v>LBL-KYFL20G_NS</v>
      </c>
      <c r="D391" t="str">
        <v>Qty: "48 | 48" -&gt; "2x48"</v>
      </c>
    </row>
    <row r="392">
      <c r="A392" t="str">
        <v>2026-02-10T17:18:39.309Z</v>
      </c>
      <c r="B392" t="str">
        <v>EDIT ITEM</v>
      </c>
      <c r="C392" t="str">
        <v>LBL-CRPL24G-VL-ND</v>
      </c>
      <c r="D392" t="str">
        <v>Qty: "16×48 | 2 | 42×48 | 1" -&gt; "16×48 | 2 | 42×48 | 1 l 23"</v>
      </c>
    </row>
    <row r="393">
      <c r="A393" t="str">
        <v>2026-02-10T17:18:12.581Z</v>
      </c>
      <c r="B393" t="str">
        <v>EDIT ITEM</v>
      </c>
      <c r="C393" t="str">
        <v>LBL-CRPL24G-VL-ND</v>
      </c>
      <c r="D393" t="str">
        <v>Qty: "18×48 | 2 | 42×48 | 1" -&gt; "16×48 | 2 | 42×48 | 1"</v>
      </c>
    </row>
    <row r="394">
      <c r="A394" t="str">
        <v>2026-02-10T17:17:45.631Z</v>
      </c>
      <c r="B394" t="str">
        <v>EDIT ITEM</v>
      </c>
      <c r="C394" t="str">
        <v>LBL-COCL22G_NS</v>
      </c>
      <c r="D394" t="str">
        <v>Qty: "2×48 | 35 | 8×48" -&gt; "10×48 | 35"</v>
      </c>
    </row>
    <row r="395">
      <c r="A395" t="str">
        <v>2026-02-10T17:17:05.518Z</v>
      </c>
      <c r="B395" t="str">
        <v>EDIT ITEM</v>
      </c>
      <c r="C395" t="str">
        <v>BAG-B21.50X29PE</v>
      </c>
      <c r="D395" t="str">
        <v>Qty: "20×24000 | 2×24000 | 3900 | 17×24000 | 6×24000 | 23400 | 10×24000 | 19200" -&gt; "14×24000 | 21000 l  6×24000 | 18900 | 33×24000 | 23400 | 19200 l 12000"</v>
      </c>
    </row>
    <row r="396">
      <c r="A396" t="str">
        <v>2026-02-10T17:15:32.838Z</v>
      </c>
      <c r="B396" t="str">
        <v>EDIT ITEM</v>
      </c>
      <c r="C396" t="str">
        <v>BAG-B20.87X31.89FH</v>
      </c>
      <c r="D396" t="str">
        <v>Qty: "2×24000 | 3000 | 2×24000 | 26400 | 24000 | 24000 | 3000" -&gt; "2×24000 | 3000 | 3×24000 | 26400 | 24000 | 3000"</v>
      </c>
    </row>
    <row r="397">
      <c r="A397" t="str">
        <v>2026-02-10T17:14:33.662Z</v>
      </c>
      <c r="B397" t="str">
        <v>EDIT ITEM</v>
      </c>
      <c r="C397" t="str">
        <v>BAG-B17.5X34PE</v>
      </c>
      <c r="D397" t="str">
        <v>Qty: "3×30000 | 8×24000 | 22200 | 13200 | 3×24000 | 14100 | 2×24000 | 14700" -&gt; "3×30000 | 8×24000 | 22200 | 13200 | 5×24000 | 14100 | 14700"</v>
      </c>
    </row>
    <row r="398">
      <c r="A398" t="str">
        <v>2026-02-10T17:13:41.950Z</v>
      </c>
      <c r="B398" t="str">
        <v>EDIT ITEM</v>
      </c>
      <c r="C398" t="str">
        <v>BAG-A27X37.50PE</v>
      </c>
      <c r="D398" t="str">
        <v>Qty: "24000 | 16800 | 3000  | 2×24000 | 5900" -&gt; "3x24000 | 16800 | 3000 | 5900"</v>
      </c>
    </row>
    <row r="399">
      <c r="A399" t="str">
        <v>2026-02-10T16:30:27.059Z</v>
      </c>
      <c r="B399" t="str">
        <v>PRINT</v>
      </c>
      <c r="C399" t="str">
        <v>-</v>
      </c>
      <c r="D399" t="str">
        <v>Inventory count sheet printed.</v>
      </c>
    </row>
    <row r="400">
      <c r="A400" t="str">
        <v>2026-02-10T16:29:48.229Z</v>
      </c>
      <c r="B400" t="str">
        <v>BULK WITHDRAW</v>
      </c>
      <c r="C400" t="str">
        <v>10 items</v>
      </c>
      <c r="D400" t="str">
        <v>LBL-KYFL20G_NS (-48), LBL-MIGCHL28G_NS (-43), LBL-OFCUA90G8_NS (-10), LBL-OFKLF22G_NS (-24), LBL-OORL16G_NS (-70), LBL-OPSSUA80G8_NS (-6), LBL-RCL24G_NS (-60), LBL-RCSL24G_NS (-48), LBL-RCSUA85G8_NS (-18), LBL-SOPCUA90G8_NS (-10)</v>
      </c>
    </row>
    <row r="401">
      <c r="A401" t="str">
        <v>2026-02-10T16:27:57.946Z</v>
      </c>
      <c r="B401" t="str">
        <v>BULK WITHDRAW</v>
      </c>
      <c r="C401" t="str">
        <v>9 items</v>
      </c>
      <c r="D401" t="str">
        <v>BAG-B21.50X29PE (-75,000), LBL-COCL22G_NS (-28), LBL-EHOPCL24G_NS (-48), LBL-OPCL24G_NS (-48), LBL-RCL24G_NS (-144), LBL-RCSL24G_NS (-48), LBL-SOPCL24G_NS (-14), LBL-SOPCUA90G8_NS (-5), LBL-CRPL24G-VL-ND (-119)</v>
      </c>
    </row>
    <row r="402">
      <c r="A402" t="str">
        <v>2026-02-10T16:25:18.441Z</v>
      </c>
      <c r="B402" t="str">
        <v>BULK WITHDRAW</v>
      </c>
      <c r="C402" t="str">
        <v>13 items</v>
      </c>
      <c r="D402" t="str">
        <v>LBL-COCL22G_NS (-144), LBL-SKYFL20G_NS (-20), LBL-OFCUA90G8_NS (-10), LBL-OFKLF22G_NS (-36), LBL-OORL16G_NS (-48), LBL-PFCLB21G_NS (-7), LBL-RCL24G_NS (-48), LBL-RCSL24G_NS (-18), LBL-SOPCF60GH_NS (-20), LBL-SOPCL24G_NS (-10), LBL-SOPCUA90G8_NS (-8), LBL-OFCL24G-VL-ND (-144), LBL-CRPL24G-VL-ND (-384)</v>
      </c>
    </row>
    <row r="403">
      <c r="A403" t="str">
        <v>2026-02-10T16:21:43.655Z</v>
      </c>
      <c r="B403" t="str">
        <v>EDIT ITEM</v>
      </c>
      <c r="C403" t="str">
        <v>BAG-B18X27MLRLPE</v>
      </c>
      <c r="D403" t="str">
        <v>Qty: "36000 | 21000 | 27900 | 2×36000 | 4800" -&gt; "21000 | 27900 | 2×36000 "</v>
      </c>
    </row>
    <row r="404">
      <c r="A404" t="str">
        <v>2026-02-10T16:21:23.438Z</v>
      </c>
      <c r="B404" t="str">
        <v>BULK WITHDRAW</v>
      </c>
      <c r="C404" t="str">
        <v>6 items</v>
      </c>
      <c r="D404" t="str">
        <v>BAG-B21.50X29PE (-48,000), BAG-A26X32.50PE (-24,000), BAG-B22.50X37PE (-25,800), BUNDLES-44X60 (-7,000), LBL-RCL24G_NS (-24), LBL-SOPCUA90G8_NS (-35)</v>
      </c>
    </row>
    <row r="405">
      <c r="A405" t="str">
        <v>2026-02-10T16:18:24.496Z</v>
      </c>
      <c r="B405" t="str">
        <v>DELIVERY (BULK)</v>
      </c>
      <c r="C405" t="str">
        <v>BAG-B23X29.53W/HO</v>
      </c>
      <c r="D405" t="str">
        <v>+105,300 pcs</v>
      </c>
    </row>
    <row r="406">
      <c r="A406" t="str">
        <v>2026-02-10T16:18:24.396Z</v>
      </c>
      <c r="B406" t="str">
        <v>DELIVERY (BULK)</v>
      </c>
      <c r="C406" t="str">
        <v>BAG-B20.87X31.89FH</v>
      </c>
      <c r="D406" t="str">
        <v>+27,000 pcs</v>
      </c>
    </row>
    <row r="407">
      <c r="A407" t="str">
        <v>2026-02-10T16:16:32.985Z</v>
      </c>
      <c r="B407" t="str">
        <v>DELIVERY (BULK)</v>
      </c>
      <c r="C407" t="str">
        <v>BAG-B21.50X29PE</v>
      </c>
      <c r="D407" t="str">
        <v>+259,200 pcs</v>
      </c>
    </row>
    <row r="408">
      <c r="A408" t="str">
        <v>2026-02-10T16:16:32.865Z</v>
      </c>
      <c r="B408" t="str">
        <v>DELIVERY (BULK)</v>
      </c>
      <c r="C408" t="str">
        <v>BAG-A26.5X37.5PE</v>
      </c>
      <c r="D408" t="str">
        <v>+144,000 pcs</v>
      </c>
    </row>
    <row r="409">
      <c r="A409" t="str">
        <v>2026-02-10T16:16:32.764Z</v>
      </c>
      <c r="B409" t="str">
        <v>DELIVERY (BULK)</v>
      </c>
      <c r="C409" t="str">
        <v>BAG-A19.5X35PE</v>
      </c>
      <c r="D409" t="str">
        <v>+151,200 pcs</v>
      </c>
    </row>
    <row r="410">
      <c r="A410" t="str">
        <v>2026-02-10T16:14:41.536Z</v>
      </c>
      <c r="B410" t="str">
        <v>DELIVERY (BULK)</v>
      </c>
      <c r="C410" t="str">
        <v>BAG-B21.50X29PE</v>
      </c>
      <c r="D410" t="str">
        <v>+167,400 pcs</v>
      </c>
    </row>
    <row r="411">
      <c r="A411" t="str">
        <v>2026-02-10T16:14:41.436Z</v>
      </c>
      <c r="B411" t="str">
        <v>DELIVERY (BULK)</v>
      </c>
      <c r="C411" t="str">
        <v>BAG-A25.5X32PE</v>
      </c>
      <c r="D411" t="str">
        <v>+91,500 pcs</v>
      </c>
    </row>
    <row r="412">
      <c r="A412" t="str">
        <v>2026-02-10T16:14:41.326Z</v>
      </c>
      <c r="B412" t="str">
        <v>DELIVERY (BULK)</v>
      </c>
      <c r="C412" t="str">
        <v>BAG-B17.5X34PE</v>
      </c>
      <c r="D412" t="str">
        <v>+62,700 pcs</v>
      </c>
    </row>
    <row r="413">
      <c r="A413" t="str">
        <v>2026-02-10T16:14:41.209Z</v>
      </c>
      <c r="B413" t="str">
        <v>DELIVERY (BULK)</v>
      </c>
      <c r="C413" t="str">
        <v>BAG-A27X37.50PE</v>
      </c>
      <c r="D413" t="str">
        <v>+53,900 pcs</v>
      </c>
    </row>
    <row r="414">
      <c r="A414" t="str">
        <v>2026-02-10T16:14:41.116Z</v>
      </c>
      <c r="B414" t="str">
        <v>DELIVERY (BULK)</v>
      </c>
      <c r="C414" t="str">
        <v>BAG-A27X42PE</v>
      </c>
      <c r="D414" t="str">
        <v>+29,100 pcs</v>
      </c>
    </row>
    <row r="415">
      <c r="A415" t="str">
        <v>2026-02-10T16:14:41.020Z</v>
      </c>
      <c r="B415" t="str">
        <v>DELIVERY (BULK)</v>
      </c>
      <c r="C415" t="str">
        <v>BAG-A22X30PE</v>
      </c>
      <c r="D415" t="str">
        <v>+29,700 pcs</v>
      </c>
    </row>
    <row r="416">
      <c r="A416" t="str">
        <v>2026-02-10T16:10:57.613Z</v>
      </c>
      <c r="B416" t="str">
        <v>DELIVERY (BULK)</v>
      </c>
      <c r="C416" t="str">
        <v>LBL-PFCBM50G_NS</v>
      </c>
      <c r="D416" t="str">
        <v>+135 pcs</v>
      </c>
    </row>
    <row r="417">
      <c r="A417" t="str">
        <v>2026-02-10T16:10:57.517Z</v>
      </c>
      <c r="B417" t="str">
        <v>DELIVERY (BULK)</v>
      </c>
      <c r="C417" t="str">
        <v>LBL-KYFL20G_NS</v>
      </c>
      <c r="D417" t="str">
        <v>+48 pcs</v>
      </c>
    </row>
    <row r="418">
      <c r="A418" t="str">
        <v>2026-02-10T16:10:57.428Z</v>
      </c>
      <c r="B418" t="str">
        <v>DELIVERY (BULK)</v>
      </c>
      <c r="C418" t="str">
        <v>LBL-KYFUA60G8_NS</v>
      </c>
      <c r="D418" t="str">
        <v>+108 pcs</v>
      </c>
    </row>
    <row r="419">
      <c r="A419" t="str">
        <v>2026-02-10T16:10:57.309Z</v>
      </c>
      <c r="B419" t="str">
        <v>DELIVERY (BULK)</v>
      </c>
      <c r="C419" t="str">
        <v>LBL-OORXS5G-E_NS</v>
      </c>
      <c r="D419" t="str">
        <v>+187 pcs</v>
      </c>
    </row>
    <row r="420">
      <c r="A420" t="str">
        <v>2026-02-10T09:11:12.929Z</v>
      </c>
      <c r="B420" t="str">
        <v>EDIT ITEM</v>
      </c>
      <c r="C420" t="str">
        <v>LBL-SOPCL24G_NS</v>
      </c>
      <c r="D420" t="str">
        <v>Qty: "" -&gt; "24"</v>
      </c>
    </row>
    <row r="421">
      <c r="A421" t="str">
        <v>2026-02-09T16:34:29.071Z</v>
      </c>
      <c r="B421" t="str">
        <v>EXPORT REPORT</v>
      </c>
      <c r="C421" t="str">
        <v>-</v>
      </c>
      <c r="D421" t="str">
        <v>Human-readable report exported.</v>
      </c>
    </row>
    <row r="422">
      <c r="A422" t="str">
        <v>2026-02-09T16:34:22.001Z</v>
      </c>
      <c r="B422" t="str">
        <v>BACKUP</v>
      </c>
      <c r="C422" t="str">
        <v>-</v>
      </c>
      <c r="D422" t="str">
        <v>Full inventory state backed up.</v>
      </c>
    </row>
    <row r="423">
      <c r="A423" t="str">
        <v>2026-02-09T16:33:38.476Z</v>
      </c>
      <c r="B423" t="str">
        <v>PRINT</v>
      </c>
      <c r="C423" t="str">
        <v>-</v>
      </c>
      <c r="D423" t="str">
        <v>Inventory count sheet printed.</v>
      </c>
    </row>
    <row r="424">
      <c r="A424" t="str">
        <v>2026-02-09T16:33:02.977Z</v>
      </c>
      <c r="B424" t="str">
        <v>EDIT ITEM</v>
      </c>
      <c r="C424" t="str">
        <v>LBL-CRPL24G-VL-ND</v>
      </c>
      <c r="D424" t="str">
        <v>Qty: "18×48 | 26 | 9×48 | 47 | 42×48 | 1" -&gt; "18×48 | 2 | 10×48 | 23 | 42×48 | 1"</v>
      </c>
    </row>
    <row r="425">
      <c r="A425" t="str">
        <v>2026-02-09T16:32:38.385Z</v>
      </c>
      <c r="B425" t="str">
        <v>EDIT ITEM</v>
      </c>
      <c r="C425" t="str">
        <v>LBL-4XCH-UA85G</v>
      </c>
      <c r="D425" t="str">
        <v>Qty: "2×18 | 5 | 18" -&gt; "18 | 11 | 18 l 12"</v>
      </c>
    </row>
    <row r="426">
      <c r="A426" t="str">
        <v>2026-02-09T16:32:04.145Z</v>
      </c>
      <c r="B426" t="str">
        <v>EDIT ITEM</v>
      </c>
      <c r="C426" t="str">
        <v>BAG-A26X32.50PE</v>
      </c>
      <c r="D426" t="str">
        <v>Qty: "6×24000 | 4600 | 14×24000 | 10×24000" -&gt; "7×24000 | 4600 | 13×24000 | 10×24000"</v>
      </c>
    </row>
    <row r="427">
      <c r="A427" t="str">
        <v>2026-02-09T16:31:49.403Z</v>
      </c>
      <c r="B427" t="str">
        <v>EDIT ITEM</v>
      </c>
      <c r="C427" t="str">
        <v>BAG-A22X30PEW/FLAP</v>
      </c>
      <c r="D427" t="str">
        <v>Qty: "2×24000 | 12300 | 24000 | 9900" -&gt; "3×24000 | 12300 | 9900"</v>
      </c>
    </row>
    <row r="428">
      <c r="A428" t="str">
        <v>2026-02-09T16:14:28.524Z</v>
      </c>
      <c r="B428" t="str">
        <v>PRINT</v>
      </c>
      <c r="C428" t="str">
        <v>-</v>
      </c>
      <c r="D428" t="str">
        <v>Inventory count sheet printed.</v>
      </c>
    </row>
    <row r="429">
      <c r="A429" t="str">
        <v>2026-02-09T16:14:17.472Z</v>
      </c>
      <c r="B429" t="str">
        <v>BULK WITHDRAW</v>
      </c>
      <c r="C429" t="str">
        <v>1 items</v>
      </c>
      <c r="D429" t="str">
        <v>BAG-A26X32.50PE (-24,000)</v>
      </c>
    </row>
    <row r="430">
      <c r="A430" t="str">
        <v>2026-02-09T16:13:28.212Z</v>
      </c>
      <c r="B430" t="str">
        <v>PRINT</v>
      </c>
      <c r="C430" t="str">
        <v>-</v>
      </c>
      <c r="D430" t="str">
        <v>Inventory count sheet printed.</v>
      </c>
    </row>
    <row r="431">
      <c r="A431" t="str">
        <v>2026-02-09T16:12:34.479Z</v>
      </c>
      <c r="B431" t="str">
        <v>BULK WITHDRAW</v>
      </c>
      <c r="C431" t="str">
        <v>12 items</v>
      </c>
      <c r="D431" t="str">
        <v>LBL-4XCH-UA85G (-6), LBL-OFCUA90G8_NS (-18), LBL-OFKBA80G-800 (-12), LBL-OFKLF22G_NS (-24), LBL-OORUA75G (-12), LBL-OPCL24G_NS (-48), LBL-PFCLB21G_NS (-52), LBL-PSNKFB60G_NS (-30), LBL-PSNKLS28G_NS (-48), LBL-RCBM50EXP-UNI (-18), LBL-RCL24G_NS (-48), LBL-CRPL24G-VL-ND (-24)</v>
      </c>
    </row>
    <row r="432">
      <c r="A432" t="str">
        <v>2026-02-09T16:09:02.702Z</v>
      </c>
      <c r="B432" t="str">
        <v>DELIVERY (BULK)</v>
      </c>
      <c r="C432" t="str">
        <v>LBL-KYFL20G_NS</v>
      </c>
      <c r="D432" t="str">
        <v>+96 pcs</v>
      </c>
    </row>
    <row r="433">
      <c r="A433" t="str">
        <v>2026-02-09T16:09:02.580Z</v>
      </c>
      <c r="B433" t="str">
        <v>DELIVERY (BULK)</v>
      </c>
      <c r="C433" t="str">
        <v>LBL-KYFUA60G8_NS</v>
      </c>
      <c r="D433" t="str">
        <v>+31 pcs</v>
      </c>
    </row>
    <row r="434">
      <c r="A434" t="str">
        <v>2026-02-09T16:09:02.487Z</v>
      </c>
      <c r="B434" t="str">
        <v>DELIVERY (BULK)</v>
      </c>
      <c r="C434" t="str">
        <v>BAG-A22X30PEW/FLAP</v>
      </c>
      <c r="D434" t="str">
        <v>+33,900 pcs</v>
      </c>
    </row>
    <row r="435">
      <c r="A435" t="str">
        <v>2026-02-09T16:09:02.383Z</v>
      </c>
      <c r="B435" t="str">
        <v>DELIVERY (BULK)</v>
      </c>
      <c r="C435" t="str">
        <v>BAG-B20.87X31.89FH</v>
      </c>
      <c r="D435" t="str">
        <v>+24,000 pcs</v>
      </c>
    </row>
    <row r="436">
      <c r="A436" t="str">
        <v>2026-02-09T09:34:36.808Z</v>
      </c>
      <c r="B436" t="str">
        <v>EXPORT REPORT</v>
      </c>
      <c r="C436" t="str">
        <v>-</v>
      </c>
      <c r="D436" t="str">
        <v>Human-readable report exported.</v>
      </c>
    </row>
    <row r="437">
      <c r="A437" t="str">
        <v>2026-02-09T09:34:30.384Z</v>
      </c>
      <c r="B437" t="str">
        <v>BACKUP</v>
      </c>
      <c r="C437" t="str">
        <v>-</v>
      </c>
      <c r="D437" t="str">
        <v>Full inventory state backed up.</v>
      </c>
    </row>
    <row r="438">
      <c r="A438" t="str">
        <v>2026-02-09T09:33:53.188Z</v>
      </c>
      <c r="B438" t="str">
        <v>PRINT</v>
      </c>
      <c r="C438" t="str">
        <v>-</v>
      </c>
      <c r="D438" t="str">
        <v>Inventory count sheet printed.</v>
      </c>
    </row>
    <row r="439">
      <c r="A439" t="str">
        <v>2026-02-09T09:33:30.114Z</v>
      </c>
      <c r="B439" t="str">
        <v>EDIT ITEM</v>
      </c>
      <c r="C439" t="str">
        <v>LBL-SOPCUA90G8_NS</v>
      </c>
      <c r="D439" t="str">
        <v>Qty: "5×18" -&gt; "4×18 l 13 l 5"</v>
      </c>
    </row>
    <row r="440">
      <c r="A440" t="str">
        <v>2026-02-09T09:33:13.912Z</v>
      </c>
      <c r="B440" t="str">
        <v>EDIT ITEM</v>
      </c>
      <c r="C440" t="str">
        <v>LBL-SOPCF60GH_NS</v>
      </c>
      <c r="D440" t="str">
        <v>Qty: "5×36 | 33" -&gt; "5×36 | 9"</v>
      </c>
    </row>
    <row r="441">
      <c r="A441" t="str">
        <v>2026-02-09T09:32:57.857Z</v>
      </c>
      <c r="B441" t="str">
        <v>EDIT ITEM</v>
      </c>
      <c r="C441" t="str">
        <v>LBL-OFCL24G-VL-ND</v>
      </c>
      <c r="D441" t="str">
        <v>Qty: "9×48 | 16×48 | 49 | 1" -&gt; "9×48 | 16×48 | 49 | 1"</v>
      </c>
    </row>
    <row r="442">
      <c r="A442" t="str">
        <v>2026-02-09T09:32:41.713Z</v>
      </c>
      <c r="B442" t="str">
        <v>EDIT ITEM</v>
      </c>
      <c r="C442" t="str">
        <v>LBL-OFCL24G-VL-ND</v>
      </c>
      <c r="D442" t="str">
        <v>Qty: "9×48 | 16×48 | 1 | 49" -&gt; "9×48 | 16×48 | 49 | 1"</v>
      </c>
    </row>
    <row r="443">
      <c r="A443" t="str">
        <v>2026-02-09T09:32:32.194Z</v>
      </c>
      <c r="B443" t="str">
        <v>EDIT ITEM</v>
      </c>
      <c r="C443" t="str">
        <v>LBL-OFCL24G-VL-ND</v>
      </c>
      <c r="D443" t="str">
        <v>Qty: "9×48 | 16×48 | 2 | 47" -&gt; "9×48 | 16×48 | 1 | 49"</v>
      </c>
    </row>
    <row r="444">
      <c r="A444" t="str">
        <v>2026-02-09T09:31:38.825Z</v>
      </c>
      <c r="B444" t="str">
        <v>EDIT ITEM</v>
      </c>
      <c r="C444" t="str">
        <v>LBL-CRPL24G-VL-ND</v>
      </c>
      <c r="D444" t="str">
        <v>Qty: "18×48 | 26 | 48 | 23 | 42×48 | 1 | 9×48" -&gt; "18×48 | 26 | 10x48 | 23 | 42×48 | 1"</v>
      </c>
    </row>
    <row r="445">
      <c r="A445" t="str">
        <v>2026-02-09T09:30:57.754Z</v>
      </c>
      <c r="B445" t="str">
        <v>EDIT ITEM</v>
      </c>
      <c r="C445" t="str">
        <v>BUNDLES-44X60</v>
      </c>
      <c r="D445" t="str">
        <v>Qty: "5×6400 | 700" -&gt; "5×6400 | 600"</v>
      </c>
    </row>
    <row r="446">
      <c r="A446" t="str">
        <v>2026-02-09T09:30:48.809Z</v>
      </c>
      <c r="B446" t="str">
        <v>EDIT ITEM</v>
      </c>
      <c r="C446" t="str">
        <v>BAG-B21.50X29PE</v>
      </c>
      <c r="D446" t="str">
        <v>Qty: "21×24000 | 5×24000 | 12000 | 18900 | 17×24000" -&gt; "20×24000 | 6×24000 | 12000 | 18900 | 17×24000"</v>
      </c>
    </row>
    <row r="447">
      <c r="A447" t="str">
        <v>2026-02-09T09:30:31.090Z</v>
      </c>
      <c r="B447" t="str">
        <v>EDIT ITEM</v>
      </c>
      <c r="C447" t="str">
        <v>BAG-A26X32.50PE</v>
      </c>
      <c r="D447" t="str">
        <v>Qty: "7×24000 | 4600 | 15×24000 | 10×24000" -&gt; "7×24000 | 4600 | 14×24000 | 10×24000"</v>
      </c>
    </row>
    <row r="448">
      <c r="A448" t="str">
        <v>2026-02-09T07:30:27.721Z</v>
      </c>
      <c r="B448" t="str">
        <v>PRINT</v>
      </c>
      <c r="C448" t="str">
        <v>-</v>
      </c>
      <c r="D448" t="str">
        <v>Inventory count sheet printed.</v>
      </c>
    </row>
    <row r="449">
      <c r="A449" t="str">
        <v>2026-02-09T07:29:46.685Z</v>
      </c>
      <c r="B449" t="str">
        <v>BULK WITHDRAW</v>
      </c>
      <c r="C449" t="str">
        <v>2 items</v>
      </c>
      <c r="D449" t="str">
        <v>LBL-OPCL24G_NS (-44), LBL-SOPCL24G_NS (-24)</v>
      </c>
    </row>
    <row r="450">
      <c r="A450" t="str">
        <v>2026-02-09T07:29:24.320Z</v>
      </c>
      <c r="B450" t="str">
        <v>BULK WITHDRAW</v>
      </c>
      <c r="C450" t="str">
        <v>11 items</v>
      </c>
      <c r="D450" t="str">
        <v>LBL-EHOPCUA90G8_NS (-5), LBL-OFCUA90G8_NS (-10), LBL-OFKBA80G-800 (-18), LBL-OFKLF22G_NS (-36), LBL-OORL16G_NS (-96), LBL-RCBM50G_NS (-10), LBL-RCL24G_NS (-96), LBL-RCSUA85G8_NS (-18), LBL-SOPCUA90G8_NS (-5), LBL-OFCL24G-VL-ND (-144), LBL-CRPL24G-VL-ND (-144)</v>
      </c>
    </row>
    <row r="451">
      <c r="A451" t="str">
        <v>2026-02-09T07:27:44.475Z</v>
      </c>
      <c r="B451" t="str">
        <v>EDIT ITEM</v>
      </c>
      <c r="C451" t="str">
        <v>LBL-CRPL24G-VL-ND</v>
      </c>
      <c r="D451" t="str">
        <v>Qty: "18×48 | 26 | 48 | 23 | 42×48 | 1 | 12×48" -&gt; "18×48 | 26 | 48 | 23 | 42×48 | 1 | 12×48"</v>
      </c>
    </row>
    <row r="452">
      <c r="A452" t="str">
        <v>2026-02-09T07:27:28.843Z</v>
      </c>
      <c r="B452" t="str">
        <v>EDIT ITEM</v>
      </c>
      <c r="C452" t="str">
        <v>LBL-CRPL24G-VL-ND</v>
      </c>
      <c r="D452" t="str">
        <v>Qty: "18×48 | 26 | 48 | 23 | 42×48 | 1 | 12×48" -&gt; "18×48 | 26 | 48 | 23 | 42×48 | 1 | 12×48"</v>
      </c>
    </row>
    <row r="453">
      <c r="A453" t="str">
        <v>2026-02-09T07:27:02.340Z</v>
      </c>
      <c r="B453" t="str">
        <v>BULK WITHDRAW</v>
      </c>
      <c r="C453" t="str">
        <v>9 items</v>
      </c>
      <c r="D453" t="str">
        <v>BAG-B21.50X29PE (-24,000), BAG-A23X42PE-G (-12,000), BAG-A26X32.50PE (-24,000), BAG-A26.5X37.5PE (-24,000), BAG-B17.5X34PE (-30,000), LBL-OFKBA80G-800 (-12), LBL-OFKLF22G_NS (-12), LBL-RCL24G_NS (-36), LBL-CRPL24G-VL-ND (-36)</v>
      </c>
    </row>
    <row r="454">
      <c r="A454" t="str">
        <v>2026-02-08T18:03:18.833Z</v>
      </c>
      <c r="B454" t="str">
        <v>PRINT</v>
      </c>
      <c r="C454" t="str">
        <v>-</v>
      </c>
      <c r="D454" t="str">
        <v>Inventory count sheet printed.</v>
      </c>
    </row>
    <row r="455">
      <c r="A455" t="str">
        <v>2026-02-08T18:02:43.931Z</v>
      </c>
      <c r="B455" t="str">
        <v>PRINT</v>
      </c>
      <c r="C455" t="str">
        <v>-</v>
      </c>
      <c r="D455" t="str">
        <v>Inventory count sheet printed.</v>
      </c>
    </row>
    <row r="456">
      <c r="A456" t="str">
        <v>2026-02-08T18:02:30.915Z</v>
      </c>
      <c r="B456" t="str">
        <v>EXPORT REPORT</v>
      </c>
      <c r="C456" t="str">
        <v>-</v>
      </c>
      <c r="D456" t="str">
        <v>Human-readable report exported.</v>
      </c>
    </row>
    <row r="457">
      <c r="A457" t="str">
        <v>2026-02-08T18:02:23.699Z</v>
      </c>
      <c r="B457" t="str">
        <v>BACKUP</v>
      </c>
      <c r="C457" t="str">
        <v>-</v>
      </c>
      <c r="D457" t="str">
        <v>Full inventory state backed up.</v>
      </c>
    </row>
    <row r="458">
      <c r="A458" t="str">
        <v>2026-02-08T18:01:55.463Z</v>
      </c>
      <c r="B458" t="str">
        <v>EDIT ITEM</v>
      </c>
      <c r="C458" t="str">
        <v>LBL-RCL24G_NS</v>
      </c>
      <c r="D458" t="str">
        <v>Qty: "7×48 | 23 | 10×48" -&gt; "4×48 | 23 | 13×48"</v>
      </c>
    </row>
    <row r="459">
      <c r="A459" t="str">
        <v>2026-02-08T18:01:26.414Z</v>
      </c>
      <c r="B459" t="str">
        <v>EDIT ITEM</v>
      </c>
      <c r="C459" t="str">
        <v>LBL-OORUA75G</v>
      </c>
      <c r="D459" t="str">
        <v>Qty: "5×18 | 8×18 | 13" -&gt; "4×18 | 9×18 | 13"</v>
      </c>
    </row>
    <row r="460">
      <c r="A460" t="str">
        <v>2026-02-08T18:01:00.613Z</v>
      </c>
      <c r="B460" t="str">
        <v>EDIT ITEM</v>
      </c>
      <c r="C460" t="str">
        <v>LBL-CRPL24G-VL-ND</v>
      </c>
      <c r="D460" t="str">
        <v>Qty: "19×48 | 26 | 48 | 11 | 42×48 | 1 | 12×48" -&gt; "18×48 | 26 | 2x48 | 11 | 42×48 | 1 | 12×48"</v>
      </c>
    </row>
    <row r="461">
      <c r="A461" t="str">
        <v>2026-02-08T18:00:39.015Z</v>
      </c>
      <c r="B461" t="str">
        <v>EDIT ITEM</v>
      </c>
      <c r="C461" t="str">
        <v>BAG-B21.50X29PE</v>
      </c>
      <c r="D461" t="str">
        <v>Qty: "22×24000 | 5×24000 | 12000 | 18900 | 17×24000" -&gt; "21×24000 | 6×24000 | 12000 | 18900 | 17×24000"</v>
      </c>
    </row>
    <row r="462">
      <c r="A462" t="str">
        <v>2026-02-08T17:40:56.144Z</v>
      </c>
      <c r="B462" t="str">
        <v>PRINT</v>
      </c>
      <c r="C462" t="str">
        <v>-</v>
      </c>
      <c r="D462" t="str">
        <v>Inventory count sheet printed.</v>
      </c>
    </row>
    <row r="463">
      <c r="A463" t="str">
        <v>2026-02-08T17:40:28.705Z</v>
      </c>
      <c r="B463" t="str">
        <v>PRINT</v>
      </c>
      <c r="C463" t="str">
        <v>-</v>
      </c>
      <c r="D463" t="str">
        <v>Inventory count sheet printed.</v>
      </c>
    </row>
    <row r="464">
      <c r="A464" t="str">
        <v>2026-02-08T17:39:20.197Z</v>
      </c>
      <c r="B464" t="str">
        <v>PRINT</v>
      </c>
      <c r="C464" t="str">
        <v>-</v>
      </c>
      <c r="D464" t="str">
        <v>Inventory count sheet printed.</v>
      </c>
    </row>
    <row r="465">
      <c r="A465" t="str">
        <v>2026-02-08T17:38:23.757Z</v>
      </c>
      <c r="B465" t="str">
        <v>EDIT ITEM</v>
      </c>
      <c r="C465" t="str">
        <v>BAG-B22.50X34PE</v>
      </c>
      <c r="D465" t="str">
        <v>Qty: "9×24000 | 22200 | 11×24000 | 18900 | 10100" -&gt; "9×24000 | 22200 | 11×24000"</v>
      </c>
    </row>
    <row r="466">
      <c r="A466" t="str">
        <v>2026-02-08T17:38:11.495Z</v>
      </c>
      <c r="B466" t="str">
        <v>EDIT ITEM</v>
      </c>
      <c r="C466" t="str">
        <v>BAG-A26X45HD</v>
      </c>
      <c r="D466" t="str">
        <v>Qty: "2×19200 | 2x24000 | 14400 | 2×19200" -&gt; "19200 | 2×24000 | 14400 | 2×19200"</v>
      </c>
    </row>
    <row r="467">
      <c r="A467" t="str">
        <v>2026-02-08T17:37:40.477Z</v>
      </c>
      <c r="B467" t="str">
        <v>EDIT ITEM</v>
      </c>
      <c r="C467" t="str">
        <v>BAG-B18X30BPE</v>
      </c>
      <c r="D467" t="str">
        <v>Qty: "21×36000 | 35400 l 3x36000 l 24000" -&gt; "20×36000 | 3×36000 | 24000"</v>
      </c>
    </row>
    <row r="468">
      <c r="A468" t="str">
        <v>2026-02-08T17:37:13.055Z</v>
      </c>
      <c r="B468" t="str">
        <v>EDIT ITEM</v>
      </c>
      <c r="C468" t="str">
        <v>BAG-A22.50X39PE</v>
      </c>
      <c r="D468" t="str">
        <v>Qty: "9×24000 | 14700" -&gt; "8×24000 | 14700"</v>
      </c>
    </row>
    <row r="469">
      <c r="A469" t="str">
        <v>2026-02-08T17:36:57.496Z</v>
      </c>
      <c r="B469" t="str">
        <v>BULK WITHDRAW</v>
      </c>
      <c r="C469" t="str">
        <v>8 items</v>
      </c>
      <c r="D469" t="str">
        <v>LBL-OFKBA80G-800 (-18), LBL-OFKLF22G_NS (-36), LBL-OORL16G_NS (-24), LBL-OORUA75G (-12), LBL-PFCLB21G_NS (-48), LBL-PFKLB21G_NS (-18), LBL-RCL24G_NS (-36), LBL-CRPL24G-VL-ND (-48)</v>
      </c>
    </row>
    <row r="470">
      <c r="A470" t="str">
        <v>2026-02-08T17:35:20.556Z</v>
      </c>
      <c r="B470" t="str">
        <v>BULK WITHDRAW</v>
      </c>
      <c r="C470" t="str">
        <v>8 items</v>
      </c>
      <c r="D470" t="str">
        <v>BAG-B21.50X29PE (-24,000), LBL-OFKLF22G_NS (-36), LBL-OORL16G_NS (-24), LBL-PFKBM50EXP_NS (-10), LBL-PFKLB21G_NS (-32), LBL-RCL24G_NS (-24), LBL-SOPCL24G_NS (-46), LBL-CRPL24G-VL-ND (-48)</v>
      </c>
    </row>
    <row r="471">
      <c r="A471" t="str">
        <v>2026-02-08T01:08:21.010Z</v>
      </c>
      <c r="B471" t="str">
        <v>EDIT ITEM</v>
      </c>
      <c r="C471" t="str">
        <v>BAG-B23X29.53W/HO</v>
      </c>
      <c r="D471" t="str">
        <v>Qty: "3×24000 | 6900" -&gt; "3×24000 | 6900"</v>
      </c>
    </row>
    <row r="472">
      <c r="A472" t="str">
        <v>2026-02-07T18:00:13.373Z</v>
      </c>
      <c r="B472" t="str">
        <v>PRINT</v>
      </c>
      <c r="C472" t="str">
        <v>-</v>
      </c>
      <c r="D472" t="str">
        <v>Inventory count sheet printed.</v>
      </c>
    </row>
    <row r="473">
      <c r="A473" t="str">
        <v>2026-02-07T17:59:51.571Z</v>
      </c>
      <c r="B473" t="str">
        <v>EXPORT REPORT</v>
      </c>
      <c r="C473" t="str">
        <v>-</v>
      </c>
      <c r="D473" t="str">
        <v>Human-readable report exported.</v>
      </c>
    </row>
    <row r="474">
      <c r="A474" t="str">
        <v>2026-02-07T17:59:45.923Z</v>
      </c>
      <c r="B474" t="str">
        <v>BACKUP</v>
      </c>
      <c r="C474" t="str">
        <v>-</v>
      </c>
      <c r="D474" t="str">
        <v>Full inventory state backed up.</v>
      </c>
    </row>
    <row r="475">
      <c r="A475" t="str">
        <v>2026-02-07T17:59:08.444Z</v>
      </c>
      <c r="B475" t="str">
        <v>EDIT ITEM</v>
      </c>
      <c r="C475" t="str">
        <v>LBL-RCL24G_NS</v>
      </c>
      <c r="D475" t="str">
        <v>Qty: "9×48 | 35 | 9×48" -&gt; "8×48 | 35 | 10×48"</v>
      </c>
    </row>
    <row r="476">
      <c r="A476" t="str">
        <v>2026-02-07T17:58:49.580Z</v>
      </c>
      <c r="B476" t="str">
        <v>EDIT ITEM</v>
      </c>
      <c r="C476" t="str">
        <v>LBL-PFCLB21G_NS</v>
      </c>
      <c r="D476" t="str">
        <v>Qty: "2×48 | 11" -&gt; "48 | 12 l 47"</v>
      </c>
    </row>
    <row r="477">
      <c r="A477" t="str">
        <v>2026-02-07T17:58:18.980Z</v>
      </c>
      <c r="B477" t="str">
        <v>EDIT ITEM</v>
      </c>
      <c r="C477" t="str">
        <v>LBL-OORXS5G-E_NS</v>
      </c>
      <c r="D477" t="str">
        <v>Qty: "2×96 | 29 | 2x96 | 96 | 97 | 2×96" -&gt; "7×96 | 29 | 97 "</v>
      </c>
    </row>
    <row r="478">
      <c r="A478" t="str">
        <v>2026-02-07T17:57:56.884Z</v>
      </c>
      <c r="B478" t="str">
        <v>EDIT ITEM</v>
      </c>
      <c r="C478" t="str">
        <v>LBL-OORUA75G</v>
      </c>
      <c r="D478" t="str">
        <v>Qty: "6×18 | 8×18 | 6 | 1" -&gt; "5×18 | 9×18 | 7"</v>
      </c>
    </row>
    <row r="479">
      <c r="A479" t="str">
        <v>2026-02-07T17:57:39.588Z</v>
      </c>
      <c r="B479" t="str">
        <v>EDIT ITEM</v>
      </c>
      <c r="C479" t="str">
        <v>LBL-OFKBA80G-800</v>
      </c>
      <c r="D479" t="str">
        <v>Qty: "8×18 | 7 | 18" -&gt; "9×18 | 7 "</v>
      </c>
    </row>
    <row r="480">
      <c r="A480" t="str">
        <v>2026-02-07T17:57:17.676Z</v>
      </c>
      <c r="B480" t="str">
        <v>EDIT ITEM</v>
      </c>
      <c r="C480" t="str">
        <v>LBL-MIGCHUA105G</v>
      </c>
      <c r="D480" t="str">
        <v>Qty: "3×18 | 11" -&gt; "3×18 | 3"</v>
      </c>
    </row>
    <row r="481">
      <c r="A481" t="str">
        <v>2026-02-07T17:56:55.653Z</v>
      </c>
      <c r="B481" t="str">
        <v>EDIT ITEM</v>
      </c>
      <c r="C481" t="str">
        <v>LBL-MIGCHUA105G</v>
      </c>
      <c r="D481" t="str">
        <v>Qty: "3×18 | 3" -&gt; "3×18 | 11"</v>
      </c>
    </row>
    <row r="482">
      <c r="A482" t="str">
        <v>2026-02-07T17:55:56.165Z</v>
      </c>
      <c r="B482" t="str">
        <v>EDIT ITEM</v>
      </c>
      <c r="C482" t="str">
        <v>LBL-CRPL24G-VL-ND</v>
      </c>
      <c r="D482" t="str">
        <v>Qty: "20×48 | 2×48 | 37 | 42×48 | 1 | 12×48" -&gt; "19×48 | 26 l 3×48 | 11 | 42×48 | 1 | 12×48"</v>
      </c>
    </row>
    <row r="483">
      <c r="A483" t="str">
        <v>2026-02-07T17:54:42.180Z</v>
      </c>
      <c r="B483" t="str">
        <v>EDIT ITEM</v>
      </c>
      <c r="C483" t="str">
        <v>BAG-B21.50X29PE</v>
      </c>
      <c r="D483" t="str">
        <v>Qty: "23×24000 | 5×24000 | 12000 | 18900 | 4×24000 | 14400 | 18600 | 5×24000 | 13200 | 6×24000 | 1800" -&gt; "22×24000 | 6×24000 | 12000 | 18900 | 17×24000 "</v>
      </c>
    </row>
    <row r="484">
      <c r="A484" t="str">
        <v>2026-02-07T17:53:13.084Z</v>
      </c>
      <c r="B484" t="str">
        <v>EDIT ITEM</v>
      </c>
      <c r="C484" t="str">
        <v>BAG-A25.5X32PE</v>
      </c>
      <c r="D484" t="str">
        <v>Qty: "21000 | 6×24000 | 17100 | 4×24000 | 12000 | 24000 | 22800 | 4×24000 | 15900" -&gt; "3000 | 24000 | 17×24000 | 3900 | 14700"</v>
      </c>
    </row>
    <row r="485">
      <c r="A485" t="str">
        <v>2026-02-07T17:51:58.165Z</v>
      </c>
      <c r="B485" t="str">
        <v>EDIT ITEM</v>
      </c>
      <c r="C485" t="str">
        <v>BAG-B23X30.32W/HO</v>
      </c>
      <c r="D485" t="str">
        <v>Qty: "19800" -&gt; ""</v>
      </c>
    </row>
    <row r="486">
      <c r="A486" t="str">
        <v>2026-02-07T17:51:51.340Z</v>
      </c>
      <c r="B486" t="str">
        <v>EDIT ITEM</v>
      </c>
      <c r="C486" t="str">
        <v>BAG-B22.50X34PE</v>
      </c>
      <c r="D486" t="str">
        <v>Qty: "9×24000 | 22200 | 11×24000 | 18900 | 10100" -&gt; "9×24000 | 22200 | 11×24000 | 18900 | 10100"</v>
      </c>
    </row>
    <row r="487">
      <c r="A487" t="str">
        <v>2026-02-07T17:51:31.821Z</v>
      </c>
      <c r="B487" t="str">
        <v>EDIT ITEM</v>
      </c>
      <c r="C487" t="str">
        <v>BAG-B22.50X34PE</v>
      </c>
      <c r="D487" t="str">
        <v>Qty: "9×24000 | 22200 | 10×24000 | 12000 | 6900 | 24000 | 10100" -&gt; "9×24000 | 22200 | 11×24000 | 18900 | 10100"</v>
      </c>
    </row>
    <row r="488">
      <c r="A488" t="str">
        <v>2026-02-07T17:50:53.732Z</v>
      </c>
      <c r="B488" t="str">
        <v>EDIT ITEM</v>
      </c>
      <c r="C488" t="str">
        <v>BAG-B20.87X31.89FH</v>
      </c>
      <c r="D488" t="str">
        <v>Qty: "2×24000 | 6000 | 2×24000 | 26400" -&gt; "2×24000 | 3000 | 2×24000 | 26400"</v>
      </c>
    </row>
    <row r="489">
      <c r="A489" t="str">
        <v>2026-02-07T17:50:36.444Z</v>
      </c>
      <c r="B489" t="str">
        <v>EDIT ITEM</v>
      </c>
      <c r="C489" t="str">
        <v>BAG-B18X30BPE</v>
      </c>
      <c r="D489" t="str">
        <v>Qty: "21×36000 | 35400" -&gt; "21×36000 | 35400 l 3x36000 l 24000"</v>
      </c>
    </row>
    <row r="490">
      <c r="A490" t="str">
        <v>2026-02-07T17:50:04.997Z</v>
      </c>
      <c r="B490" t="str">
        <v>EDIT ITEM</v>
      </c>
      <c r="C490" t="str">
        <v>BAG-B17.5X34PE</v>
      </c>
      <c r="D490" t="str">
        <v>Qty: "4×30000 | 6×24000 | 22200 | 2×24000 | 24000 | 13200 | 2×24000 | 14100" -&gt; "4×30000 | 8×24000 | 22200 | 13200 | 3×24000 | 14100"</v>
      </c>
    </row>
    <row r="491">
      <c r="A491" t="str">
        <v>2026-02-07T17:49:19.924Z</v>
      </c>
      <c r="B491" t="str">
        <v>EDIT ITEM</v>
      </c>
      <c r="C491" t="str">
        <v>BAG-A26X45HD</v>
      </c>
      <c r="D491" t="str">
        <v>Qty: "3×19200 | 24000 | 19200 | 2×19200" -&gt; "2×19200 | 2x24000 | 14400 | 2×19200"</v>
      </c>
    </row>
    <row r="492">
      <c r="A492" t="str">
        <v>2026-02-07T17:48:41.988Z</v>
      </c>
      <c r="B492" t="str">
        <v>EDIT ITEM</v>
      </c>
      <c r="C492" t="str">
        <v>BAG-A26.5X37.5PE</v>
      </c>
      <c r="D492" t="str">
        <v>Qty: "16×24000 | 18900 | 2×24000" -&gt; "18×24000 | 18900 "</v>
      </c>
    </row>
    <row r="493">
      <c r="A493" t="str">
        <v>2026-02-07T17:48:25.764Z</v>
      </c>
      <c r="B493" t="str">
        <v>EDIT ITEM</v>
      </c>
      <c r="C493" t="str">
        <v>BAG-A23X42PE-G</v>
      </c>
      <c r="D493" t="str">
        <v>Qty: "15×19200 | 15000 | 1200" -&gt; "15×19200 | 16200"</v>
      </c>
    </row>
    <row r="494">
      <c r="A494" t="str">
        <v>2026-02-07T17:48:17.756Z</v>
      </c>
      <c r="B494" t="str">
        <v>EDIT ITEM</v>
      </c>
      <c r="C494" t="str">
        <v>BAG-A22X30PEW/FLAP</v>
      </c>
      <c r="D494" t="str">
        <v>Qty: "2×24000 | 16500" -&gt; "2×24000 | 12300"</v>
      </c>
    </row>
    <row r="495">
      <c r="A495" t="str">
        <v>2026-02-07T17:47:51.492Z</v>
      </c>
      <c r="B495" t="str">
        <v>EDIT ITEM</v>
      </c>
      <c r="C495" t="str">
        <v>BAG-A19.5X35PE</v>
      </c>
      <c r="D495" t="str">
        <v>Qty: "14×24000 | 10350 | 6×24000 | 7200" -&gt; "14×24000 | 1350 | 6×24000 | 7200 l 9000"</v>
      </c>
    </row>
    <row r="496">
      <c r="A496" t="str">
        <v>2026-02-07T16:32:46.305Z</v>
      </c>
      <c r="B496" t="str">
        <v>PRINT</v>
      </c>
      <c r="C496" t="str">
        <v>-</v>
      </c>
      <c r="D496" t="str">
        <v>Inventory count sheet printed.</v>
      </c>
    </row>
    <row r="497">
      <c r="A497" t="str">
        <v>2026-02-07T16:32:16.597Z</v>
      </c>
      <c r="B497" t="str">
        <v>EDIT ITEM</v>
      </c>
      <c r="C497" t="str">
        <v>BAG-A27X37.50PE</v>
      </c>
      <c r="D497" t="str">
        <v>Qty: "24000 | 16800 | 3000 | 22500" -&gt; "24000 | 16800 | 3000 "</v>
      </c>
    </row>
    <row r="498">
      <c r="A498" t="str">
        <v>2026-02-07T16:11:09.024Z</v>
      </c>
      <c r="B498" t="str">
        <v>BULK WITHDRAW</v>
      </c>
      <c r="C498" t="str">
        <v>10 items</v>
      </c>
      <c r="D498" t="str">
        <v>LBL-OFKBA80G-800 (-18), LBL-OFKLF22G_NS (-36), LBL-OORL16G_NS (-48), LBL-OORUA75G (-12), LBL-OPCF60GH_NS (-10), LBL-PFBM50EXP_NS (-2), LBL-PFCLB21G_NS (-36), LBL-RCL24G_NS (-24), LBL-SOPCL24G_NS (-48), LBL-CRPL24G-VL-ND (-48)</v>
      </c>
    </row>
    <row r="499">
      <c r="A499" t="str">
        <v>2026-02-07T16:07:21.452Z</v>
      </c>
      <c r="B499" t="str">
        <v>BULK WITHDRAW</v>
      </c>
      <c r="C499" t="str">
        <v>14 items</v>
      </c>
      <c r="D499" t="str">
        <v>BAG-B21.50X29PE (-24,000), BAG-B10.50X12PP (-160,000), BAG-B22.50X34PE (-24,000), LBL-OFKBA80G-800 (-18), LBL-OFKLF22G_NS (-24), LBL-OORL16G_NS (-48), LBL-OPCL24G_NS (-50), LBL-PFUA90G-8_NS (-27), LBL-PFCLB21G_NS (-48), LBL-RCSL24G_NS (-18), LBL-RCUA90G8EX-UNI (-24), LBL-SOPCL24G_NS (-40), LBL-SOPCUA90G8E_UNI (-81), LBL-CRPL24G-VL-ND (-48)</v>
      </c>
    </row>
    <row r="500">
      <c r="A500" t="str">
        <v>2026-02-07T16:04:17.523Z</v>
      </c>
      <c r="B500" t="str">
        <v>BULK WITHDRAW</v>
      </c>
      <c r="C500" t="str">
        <v>11 items</v>
      </c>
      <c r="D500" t="str">
        <v>BAG-A20.5X45PE (-1,800), BAG-B23X29.53W/HO (-3,000), BAG-A25.5X32PE (-57,000), BAG-B20.87X31.89FH (-9,000), LBL-OFKLF22G_NS (-12), LBL-OORL16G_NS (-24), LBL-PFUA90G-8_NS (-18), LBL-RCL24G_NS (-192), LBL-RCSL24G_NS (-48), LBL-RCUA90G-8_NS (-16), LBL-CRPL24G-VL-ND (-48)</v>
      </c>
    </row>
    <row r="501">
      <c r="A501" t="str">
        <v>2026-02-07T15:55:39.097Z</v>
      </c>
      <c r="B501" t="str">
        <v>BULK WITHDRAW</v>
      </c>
      <c r="C501" t="str">
        <v>14 items</v>
      </c>
      <c r="D501" t="str">
        <v>BAG-B21.50X29PE (-24,000), BAG-A22X30PEW/FLAP (-19,800), BAG-A26X32.50PE (-24,000), LBL-COCL22G_NS (-10), LBL-MIGCHUA105G (-15), LBL-OFKBA80G-800 (-18), LBL-OORL16G_NS (-48), LBL-OPCF60GH_NS (-12), LBL-PFKBM50EXP_NS (-27), LBL-PFKLB21G_NS (-48), LBL-RCL24G_NS (-48), LBL-RCSL24G_NS (-48), LBL-RCUA90G-8_NS (-13), LBL-CRPL24G-VL-ND (-22)</v>
      </c>
    </row>
    <row r="502">
      <c r="A502" t="str">
        <v>2026-02-07T15:51:43.872Z</v>
      </c>
      <c r="B502" t="str">
        <v>BULK WITHDRAW</v>
      </c>
      <c r="C502" t="str">
        <v>17 items</v>
      </c>
      <c r="D502" t="str">
        <v>BAG-A19.5X35PE (-33,000), BAG-A20.5X45PE (-1,500), BAG-A22.50X39PE (-2,100), BAG-B23X30.32W/HO (-75,000), BAG-A23X42PE-G (-4,800), BAG-A25.5X32PE (-90,000), BAG-A26X45HD (-6,000), BAG-A26.5X37.5PE (-18,000), BAG-A27X42PE (-6,300), BAG-B10.50X12PP (-39,000), BAG-B15.50X23PE (-1,500), BAG-B15.50X42PE (-1,800), BAG-B18X27MLRLPE (-3,600), BAG-B18X30BPE (-600), BAG-B22.50X37PE (-12,000), LBL-OFKLF22G_NS (-72), LBL-RCL24G_NS (-144)</v>
      </c>
    </row>
    <row r="503">
      <c r="A503" t="str">
        <v>2026-02-07T15:47:02.600Z</v>
      </c>
      <c r="B503" t="str">
        <v>DELIVERY (BULK)</v>
      </c>
      <c r="C503" t="str">
        <v>BAG-B22.50X34PE</v>
      </c>
      <c r="D503" t="str">
        <v>+34,100 pcs</v>
      </c>
    </row>
    <row r="504">
      <c r="A504" t="str">
        <v>2026-02-07T15:47:02.491Z</v>
      </c>
      <c r="B504" t="str">
        <v>DELIVERY (BULK)</v>
      </c>
      <c r="C504" t="str">
        <v>BAG-A25.5X32PE</v>
      </c>
      <c r="D504" t="str">
        <v>+111,900 pcs</v>
      </c>
    </row>
    <row r="505">
      <c r="A505" t="str">
        <v>2026-02-07T15:47:02.413Z</v>
      </c>
      <c r="B505" t="str">
        <v>DELIVERY (BULK)</v>
      </c>
      <c r="C505" t="str">
        <v>BAG-B17.5X34PE</v>
      </c>
      <c r="D505" t="str">
        <v>+62,100 pcs</v>
      </c>
    </row>
    <row r="506">
      <c r="A506" t="str">
        <v>2026-02-07T15:47:02.326Z</v>
      </c>
      <c r="B506" t="str">
        <v>DELIVERY (BULK)</v>
      </c>
      <c r="C506" t="str">
        <v>BAG-A25.5X32PE</v>
      </c>
      <c r="D506" t="str">
        <v>+46,800 pcs</v>
      </c>
    </row>
    <row r="507">
      <c r="A507" t="str">
        <v>2026-02-07T15:47:02.219Z</v>
      </c>
      <c r="B507" t="str">
        <v>DELIVERY (BULK)</v>
      </c>
      <c r="C507" t="str">
        <v>BAG-A27X37.50PE</v>
      </c>
      <c r="D507" t="str">
        <v>+22,500 pcs</v>
      </c>
    </row>
    <row r="508">
      <c r="A508" t="str">
        <v>2026-02-07T15:47:02.129Z</v>
      </c>
      <c r="B508" t="str">
        <v>DELIVERY (BULK)</v>
      </c>
      <c r="C508" t="str">
        <v>BAG-B21.50X29PE</v>
      </c>
      <c r="D508" t="str">
        <v>+145,800 pcs</v>
      </c>
    </row>
    <row r="509">
      <c r="A509" t="str">
        <v>2026-02-07T15:47:02.047Z</v>
      </c>
      <c r="B509" t="str">
        <v>DELIVERY (BULK)</v>
      </c>
      <c r="C509" t="str">
        <v>BAG-A27X42PE</v>
      </c>
      <c r="D509" t="str">
        <v>+8,400 pcs</v>
      </c>
    </row>
    <row r="510">
      <c r="A510" t="str">
        <v>2026-02-07T15:43:05.620Z</v>
      </c>
      <c r="B510" t="str">
        <v>DELIVERY (BULK)</v>
      </c>
      <c r="C510" t="str">
        <v>BAG-A19.5X35PE</v>
      </c>
      <c r="D510" t="str">
        <v>+151,200 pcs</v>
      </c>
    </row>
    <row r="511">
      <c r="A511" t="str">
        <v>2026-02-07T15:43:05.528Z</v>
      </c>
      <c r="B511" t="str">
        <v>DELIVERY (BULK)</v>
      </c>
      <c r="C511" t="str">
        <v>BAG-B15.50X42PE</v>
      </c>
      <c r="D511" t="str">
        <v>+111,300 pcs</v>
      </c>
    </row>
    <row r="512">
      <c r="A512" t="str">
        <v>2026-02-07T15:43:05.440Z</v>
      </c>
      <c r="B512" t="str">
        <v>DELIVERY (BULK)</v>
      </c>
      <c r="C512" t="str">
        <v>BAG-A25.5X32PE</v>
      </c>
      <c r="D512" t="str">
        <v>+108,000 pcs</v>
      </c>
    </row>
    <row r="513">
      <c r="A513" t="str">
        <v>2026-02-07T15:43:05.343Z</v>
      </c>
      <c r="B513" t="str">
        <v>DELIVERY (BULK)</v>
      </c>
      <c r="C513" t="str">
        <v>BAG-B21.50X29PE</v>
      </c>
      <c r="D513" t="str">
        <v>+133,200 pcs</v>
      </c>
    </row>
    <row r="514">
      <c r="A514" t="str">
        <v>2026-02-07T15:39:41.761Z</v>
      </c>
      <c r="B514" t="str">
        <v>DELIVERY (BULK)</v>
      </c>
      <c r="C514" t="str">
        <v>LBL-OORXS5G-E_NS</v>
      </c>
      <c r="D514" t="str">
        <v>+192 pcs</v>
      </c>
    </row>
    <row r="515">
      <c r="A515" t="str">
        <v>2026-02-05T21:48:44.790Z</v>
      </c>
      <c r="B515" t="str">
        <v>EXPORT REPORT</v>
      </c>
      <c r="C515" t="str">
        <v>-</v>
      </c>
      <c r="D515" t="str">
        <v>Human-readable report exported.</v>
      </c>
    </row>
    <row r="516">
      <c r="A516" t="str">
        <v>2026-02-05T21:48:39.625Z</v>
      </c>
      <c r="B516" t="str">
        <v>BACKUP</v>
      </c>
      <c r="C516" t="str">
        <v>-</v>
      </c>
      <c r="D516" t="str">
        <v>Full inventory state backed up.</v>
      </c>
    </row>
    <row r="517">
      <c r="A517" t="str">
        <v>2026-02-05T21:46:31.338Z</v>
      </c>
      <c r="B517" t="str">
        <v>PRINT</v>
      </c>
      <c r="C517" t="str">
        <v>-</v>
      </c>
      <c r="D517" t="str">
        <v>Inventory count sheet printed.</v>
      </c>
    </row>
    <row r="518">
      <c r="A518" t="str">
        <v>2026-02-05T21:45:19.262Z</v>
      </c>
      <c r="B518" t="str">
        <v>EDIT ITEM</v>
      </c>
      <c r="C518" t="str">
        <v>LBL-PFBQBM50G_NS</v>
      </c>
      <c r="D518" t="str">
        <v>Qty: "27 | 10 | 17" -&gt; "27 | 11 | 16"</v>
      </c>
    </row>
    <row r="519">
      <c r="A519" t="str">
        <v>2026-02-05T21:45:02.806Z</v>
      </c>
      <c r="B519" t="str">
        <v>EDIT ITEM</v>
      </c>
      <c r="C519" t="str">
        <v>LBL-COCL22G_NS</v>
      </c>
      <c r="D519" t="str">
        <v>Qty: "6×48 | 25 | 9×48" -&gt; "6×48 | 25 | 8×48"</v>
      </c>
    </row>
    <row r="520">
      <c r="A520" t="str">
        <v>2026-02-05T21:44:38.870Z</v>
      </c>
      <c r="B520" t="str">
        <v>EDIT ITEM</v>
      </c>
      <c r="C520" t="str">
        <v>BAG-B17.5X34PE</v>
      </c>
      <c r="D520" t="str">
        <v>Qty: "4×30000 | 6×24000 | 22200 | 2×24000 | 24000 | 13200" -&gt; "4×30000 | 6×24000 | 22200 | 2×24000 | 24000 | 13200"</v>
      </c>
    </row>
    <row r="521">
      <c r="A521" t="str">
        <v>2026-02-05T21:44:23.582Z</v>
      </c>
      <c r="B521" t="str">
        <v>EDIT ITEM</v>
      </c>
      <c r="C521" t="str">
        <v>BAG-B17.5X34PE</v>
      </c>
      <c r="D521" t="str">
        <v>Qty: "4×30000 | 6×24000 | 19200 | 2×24000 | 3000 | 24000 | 13200" -&gt; "4×30000 | 6×24000 | 22200 | 2×24000 | 24000 | 13200"</v>
      </c>
    </row>
    <row r="522">
      <c r="A522" t="str">
        <v>2026-02-05T21:43:32.214Z</v>
      </c>
      <c r="B522" t="str">
        <v>EDIT ITEM</v>
      </c>
      <c r="C522" t="str">
        <v>BAG-A25.5X32PE</v>
      </c>
      <c r="D522" t="str">
        <v>Qty: "5×24000 | 24000 | 19200 | 6×24000 | 17100" -&gt; "7×24000 | 6×24000 | 17100"</v>
      </c>
    </row>
    <row r="523">
      <c r="A523" t="str">
        <v>2026-02-05T21:42:31.150Z</v>
      </c>
      <c r="B523" t="str">
        <v>EDIT ITEM</v>
      </c>
      <c r="C523" t="str">
        <v>BAG-A23X42PE-G</v>
      </c>
      <c r="D523" t="str">
        <v>Qty: "13×19200 | 2×19200 | 15000 | 6000" -&gt; "15×19200 | 15000 | 6000"</v>
      </c>
    </row>
    <row r="524">
      <c r="A524" t="str">
        <v>2026-02-05T21:07:39.804Z</v>
      </c>
      <c r="B524" t="str">
        <v>PRINT</v>
      </c>
      <c r="C524" t="str">
        <v>-</v>
      </c>
      <c r="D524" t="str">
        <v>Inventory count sheet printed.</v>
      </c>
    </row>
    <row r="525">
      <c r="A525" t="str">
        <v>2026-02-05T21:06:41.557Z</v>
      </c>
      <c r="B525" t="str">
        <v>EDIT ITEM</v>
      </c>
      <c r="C525" t="str">
        <v>BAG-B21.50X29PE</v>
      </c>
      <c r="D525" t="str">
        <v>Qty: "23×24000 | 7×24000 | 12000 | 18900 | 4×24000 | 14400 | 18600" -&gt; "23×24000 | 7×24000 | 12000 | 18900 | 4×24000 | 14400 | 18600"</v>
      </c>
    </row>
    <row r="526">
      <c r="A526" t="str">
        <v>2026-02-05T21:06:20.694Z</v>
      </c>
      <c r="B526" t="str">
        <v>EDIT ITEM</v>
      </c>
      <c r="C526" t="str">
        <v>LBL-OFCL24G-VL-ND</v>
      </c>
      <c r="D526" t="str">
        <v>Qty: "12×48 | 16×48 | 2 | 47" -&gt; "12×48 | 16×48 | 2 | 47"</v>
      </c>
    </row>
    <row r="527">
      <c r="A527" t="str">
        <v>2026-02-05T21:04:07.738Z</v>
      </c>
      <c r="B527" t="str">
        <v>BULK WITHDRAW</v>
      </c>
      <c r="C527" t="str">
        <v>28 items</v>
      </c>
      <c r="D527" t="str">
        <v>BAG-A19.5X35PE (-39,000), BAG-A20.5X45PE (-6,000), BAG-B21.50X29PE (-12,000), BAG-B23X30.32W/HO (-24,000), BAG-A23X42PE-G (-6,000), BAG-A25.5X32PE (-76,500), BAG-A26X45HD (-9,000), BAG-A26.5X37.5PE (-42,000), BAG-B15.50X42PE (-39,000), BAG-B17.5X34PE (-3,000), BAG-B22.50X34PE (-13,800), LBL-COCL22G_NS (-70), LBL-CRPUA85G8_NS (-5), LBL-KYFF45GH_NS (-5), LBL-OFKLF22G_NS (-36), LBL-OORL16G_NS (-34), LBL-OPCF60GE_UNI (-89), LBL-OPCL24G_NS (-48), LBL-PFBQBM50G_NS (-1), LBL-PFCLB21G_NS (-48), LBL-PFKLB21G_NS (-20), LBL-RCL24G_NS (-44), LBL-RCSL24G_NS (-48), LBL-RCUA90G-8_NS (-23), LBL-SOPCL24G_NS (-48), LBL-SOPCUA90G8_NS (-2), LBL-OFCL24G-VL-ND (-48), LBL-CRPL24G-VL-ND (-144)</v>
      </c>
    </row>
    <row r="528">
      <c r="A528" t="str">
        <v>2026-02-05T20:56:18.870Z</v>
      </c>
      <c r="B528" t="str">
        <v>EDIT ITEM</v>
      </c>
      <c r="C528" t="str">
        <v>LBL-RCL24G_NS</v>
      </c>
      <c r="D528" t="str">
        <v>Qty: "18×48 | 10 | 9×48 | 45" -&gt; "18×48 | 10 | 9×48 | 45"</v>
      </c>
    </row>
    <row r="529">
      <c r="A529" t="str">
        <v>2026-02-05T20:55:42.037Z</v>
      </c>
      <c r="B529" t="str">
        <v>EDIT ITEM</v>
      </c>
      <c r="C529" t="str">
        <v>LBL-OORL16G_NS</v>
      </c>
      <c r="D529" t="str">
        <v>Qty: "48 | 20 | 11×48 | 15" -&gt; "48 | 35 | 11×48 "</v>
      </c>
    </row>
    <row r="530">
      <c r="A530" t="str">
        <v>2026-02-05T20:54:57.142Z</v>
      </c>
      <c r="B530" t="str">
        <v>EDIT ITEM</v>
      </c>
      <c r="C530" t="str">
        <v>LBL-OFCL24G-VL-ND</v>
      </c>
      <c r="D530" t="str">
        <v>Qty: "12×48 | 16×48 | 21 | 11 | 18 | 47" -&gt; "12×48 | 16×48 | 21 | 11 | 18 | 47"</v>
      </c>
    </row>
    <row r="531">
      <c r="A531" t="str">
        <v>2026-02-05T20:53:03.413Z</v>
      </c>
      <c r="B531" t="str">
        <v>EDIT ITEM</v>
      </c>
      <c r="C531" t="str">
        <v>BAG-B21.50X29PE</v>
      </c>
      <c r="D531" t="str">
        <v>Qty: "23×24000 | 8×24000 | 18900 | 4×24000 | 14400 | 18600" -&gt; "23×24000 | 8×24000 | 18900 | 4×24000 | 14400 | 18600"</v>
      </c>
    </row>
    <row r="532">
      <c r="A532" t="str">
        <v>2026-02-05T20:52:15.720Z</v>
      </c>
      <c r="B532" t="str">
        <v>EDIT ITEM</v>
      </c>
      <c r="C532" t="str">
        <v>BAG-B17.5X34PE</v>
      </c>
      <c r="D532" t="str">
        <v>Qty: "4×30000 | 6×24000 | 19200 | 2×24000 | 6000  | 24000 | 13200" -&gt; "4×30000 | 6×24000 | 19200 | 2×24000 | 6000 | 24000 | 13200"</v>
      </c>
    </row>
    <row r="533">
      <c r="A533" t="str">
        <v>2026-02-05T20:51:36.341Z</v>
      </c>
      <c r="B533" t="str">
        <v>EDIT ITEM</v>
      </c>
      <c r="C533" t="str">
        <v>BAG-A26.5X37.5PE</v>
      </c>
      <c r="D533" t="str">
        <v>Qty: "19×24000 | 900 | 2×24000 | 6000" -&gt; "19×24000 | 900 | 2×24000 | 6000"</v>
      </c>
    </row>
    <row r="534">
      <c r="A534" t="str">
        <v>2026-02-05T20:51:20.589Z</v>
      </c>
      <c r="B534" t="str">
        <v>EDIT ITEM</v>
      </c>
      <c r="C534" t="str">
        <v>BAG-A23X42PE-G</v>
      </c>
      <c r="D534" t="str">
        <v>Qty: "13×19200 | 2×19200 | 15000 | 12000" -&gt; "13×19200 | 2×19200 | 15000 | 12000"</v>
      </c>
    </row>
    <row r="535">
      <c r="A535" t="str">
        <v>2026-02-05T20:51:01.037Z</v>
      </c>
      <c r="B535" t="str">
        <v>EDIT ITEM</v>
      </c>
      <c r="C535" t="str">
        <v>BAG-A20.5X45PE</v>
      </c>
      <c r="D535" t="str">
        <v>Qty: "6×24000 | 10500 | 4×24000 | 13900" -&gt; "6×24000 | 10500 | 4×24000 | 13900"</v>
      </c>
    </row>
    <row r="536">
      <c r="A536" t="str">
        <v>2026-02-05T20:50:54.086Z</v>
      </c>
      <c r="B536" t="str">
        <v>EDIT ITEM</v>
      </c>
      <c r="C536" t="str">
        <v>BAG-A20.5X45PE</v>
      </c>
      <c r="D536" t="str">
        <v>Qty: "6×24000 | 10800 | 4×24000 | 13900" -&gt; "6×24000 | 10500 | 4×24000 | 13900"</v>
      </c>
    </row>
    <row r="537">
      <c r="A537" t="str">
        <v>2026-02-05T20:50:37.939Z</v>
      </c>
      <c r="B537" t="str">
        <v>DELIVERY (BULK)</v>
      </c>
      <c r="C537" t="str">
        <v>LBL-OORXS5G-E_NS</v>
      </c>
      <c r="D537" t="str">
        <v>+193 pcs</v>
      </c>
    </row>
    <row r="538">
      <c r="A538" t="str">
        <v>2026-02-05T11:59:55.138Z</v>
      </c>
      <c r="B538" t="str">
        <v>PRINT</v>
      </c>
      <c r="C538" t="str">
        <v>-</v>
      </c>
      <c r="D538" t="str">
        <v>Inventory count sheet printed.</v>
      </c>
    </row>
    <row r="539">
      <c r="A539" t="str">
        <v>2026-02-05T09:43:53.544Z</v>
      </c>
      <c r="B539" t="str">
        <v>PRINT</v>
      </c>
      <c r="C539" t="str">
        <v>-</v>
      </c>
      <c r="D539" t="str">
        <v>Inventory count sheet printed.</v>
      </c>
    </row>
    <row r="540">
      <c r="A540" t="str">
        <v>2026-02-05T09:43:26.924Z</v>
      </c>
      <c r="B540" t="str">
        <v>EXPORT REPORT</v>
      </c>
      <c r="C540" t="str">
        <v>-</v>
      </c>
      <c r="D540" t="str">
        <v>Human-readable report exported.</v>
      </c>
    </row>
    <row r="541">
      <c r="A541" t="str">
        <v>2026-02-05T09:43:15.076Z</v>
      </c>
      <c r="B541" t="str">
        <v>BACKUP</v>
      </c>
      <c r="C541" t="str">
        <v>-</v>
      </c>
      <c r="D541" t="str">
        <v>Full inventory state backed up.</v>
      </c>
    </row>
    <row r="542">
      <c r="A542" t="str">
        <v>2026-02-05T09:42:53.894Z</v>
      </c>
      <c r="B542" t="str">
        <v>EDIT ITEM</v>
      </c>
      <c r="C542" t="str">
        <v>LBL-RCSL24G_NS</v>
      </c>
      <c r="D542" t="str">
        <v>Qty: "5×48 | 23 l 13" -&gt; "5×48 | 23 | 13"</v>
      </c>
    </row>
    <row r="543">
      <c r="A543" t="str">
        <v>2026-02-05T09:42:32.495Z</v>
      </c>
      <c r="B543" t="str">
        <v>EDIT ITEM</v>
      </c>
      <c r="C543" t="str">
        <v>LBL-RCUA90G-8_NS</v>
      </c>
      <c r="D543" t="str">
        <v>Qty: "2×18 | 16" -&gt; "2×18 | 11 l 5"</v>
      </c>
    </row>
    <row r="544">
      <c r="A544" t="str">
        <v>2026-02-05T09:42:09.695Z</v>
      </c>
      <c r="B544" t="str">
        <v>EDIT ITEM</v>
      </c>
      <c r="C544" t="str">
        <v>LBL-RCSL24G_NS</v>
      </c>
      <c r="D544" t="str">
        <v>Qty: "5×48 | 23" -&gt; "5×48 | 23 l 13"</v>
      </c>
    </row>
    <row r="545">
      <c r="A545" t="str">
        <v>2026-02-05T09:38:50.215Z</v>
      </c>
      <c r="B545" t="str">
        <v>EDIT ITEM</v>
      </c>
      <c r="C545" t="str">
        <v>LBL-RCL24G_NS</v>
      </c>
      <c r="D545" t="str">
        <v>Qty: "14×48 | 10 | 13×48 | 45" -&gt; "18×48 | 10 | 9×48 | 45"</v>
      </c>
    </row>
    <row r="546">
      <c r="A546" t="str">
        <v>2026-02-05T09:38:21.215Z</v>
      </c>
      <c r="B546" t="str">
        <v>EDIT ITEM</v>
      </c>
      <c r="C546" t="str">
        <v>LBL-PFBQBM50G_NS</v>
      </c>
      <c r="D546" t="str">
        <v>Qty: "27 | 21 | 7" -&gt; "27 | 11 | 17"</v>
      </c>
    </row>
    <row r="547">
      <c r="A547" t="str">
        <v>2026-02-05T09:37:52.735Z</v>
      </c>
      <c r="B547" t="str">
        <v>EDIT ITEM</v>
      </c>
      <c r="C547" t="str">
        <v>LBL-COCL22G_NS</v>
      </c>
      <c r="D547" t="str">
        <v>Qty: "7×48 | 47 | 9×48" -&gt; "7×48 | 47 | 9×48"</v>
      </c>
    </row>
    <row r="548">
      <c r="A548" t="str">
        <v>2026-02-05T09:37:33.951Z</v>
      </c>
      <c r="B548" t="str">
        <v>EDIT ITEM</v>
      </c>
      <c r="C548" t="str">
        <v>LBL-COCL22G_NS</v>
      </c>
      <c r="D548" t="str">
        <v>Qty: "6×48 | 47 | 9×48" -&gt; "7×48 | 47 | 9×48"</v>
      </c>
    </row>
    <row r="549">
      <c r="A549" t="str">
        <v>2026-02-05T09:37:12.719Z</v>
      </c>
      <c r="B549" t="str">
        <v>EDIT ITEM</v>
      </c>
      <c r="C549" t="str">
        <v>BUNDLES-44X60</v>
      </c>
      <c r="D549" t="str">
        <v>Qty: "5×6400 | 600 | 100" -&gt; "5×6400 | 700"</v>
      </c>
    </row>
    <row r="550">
      <c r="A550" t="str">
        <v>2026-02-05T09:36:50.015Z</v>
      </c>
      <c r="B550" t="str">
        <v>EDIT ITEM</v>
      </c>
      <c r="C550" t="str">
        <v>BAG-B22.50X34PE</v>
      </c>
      <c r="D550" t="str">
        <v>Qty: "10×24000 | 13800 | 22200 | 7×24000 | 12000 | 3×24000 | 6900" -&gt; "10×24000 | 13800 | 22200 | 10×24000 | 12000 | 6900"</v>
      </c>
    </row>
    <row r="551">
      <c r="A551" t="str">
        <v>2026-02-05T09:36:19.943Z</v>
      </c>
      <c r="B551" t="str">
        <v>EDIT ITEM</v>
      </c>
      <c r="C551" t="str">
        <v>BAG-B21.50X29PE</v>
      </c>
      <c r="D551" t="str">
        <v>Qty: "23×24000 | 8×24000 l 18900 | 4×24000 | 14400 | 18600" -&gt; "23×24000 | 8×24000 | 18900 | 4×24000 | 14400 | 18600"</v>
      </c>
    </row>
    <row r="552">
      <c r="A552" t="str">
        <v>2026-02-05T09:35:56.247Z</v>
      </c>
      <c r="B552" t="str">
        <v>EDIT ITEM</v>
      </c>
      <c r="C552" t="str">
        <v>BAG-B21.50X29PE</v>
      </c>
      <c r="D552" t="str">
        <v>Qty: "29×24000 | 2×24000 | 3×24000 | 14400 | 24000 | 18600" -&gt; "23×24000 | 8×24000 l 18900 | 4×24000 | 14400 | 18600"</v>
      </c>
    </row>
    <row r="553">
      <c r="A553" t="str">
        <v>2026-02-05T09:34:58.670Z</v>
      </c>
      <c r="B553" t="str">
        <v>EDIT ITEM</v>
      </c>
      <c r="C553" t="str">
        <v>BAG-B20.87X31.89FH</v>
      </c>
      <c r="D553" t="str">
        <v>Qty: "24000 | 9000 | 10800 | 2×24000 | 16200 | 26400" -&gt; "2x24000 | 15000 | 2×24000 | 26400"</v>
      </c>
    </row>
    <row r="554">
      <c r="A554" t="str">
        <v>2026-02-05T09:34:14.366Z</v>
      </c>
      <c r="B554" t="str">
        <v>EDIT ITEM</v>
      </c>
      <c r="C554" t="str">
        <v>BAG-A25.5X32PE</v>
      </c>
      <c r="D554" t="str">
        <v>Qty: "6×24000 | 21000 | 24000 | 19200 | 12300 | 7200 | 11700 | 3×24000 | 14400 | 3×24000 | 2700" -&gt; "8×24000 | 4500 | 24000 | 19200 | 6×24000 | 17100"</v>
      </c>
    </row>
    <row r="555">
      <c r="A555" t="str">
        <v>2026-02-05T09:33:10.366Z</v>
      </c>
      <c r="B555" t="str">
        <v>EDIT ITEM</v>
      </c>
      <c r="C555" t="str">
        <v>BAG-A23X42PE-G</v>
      </c>
      <c r="D555" t="str">
        <v>Qty: "12×19200 | 2×19200 | 15000 | 19200 | 12000" -&gt; "13×19200 | 2×19200 | 15000 | 12000"</v>
      </c>
    </row>
    <row r="556">
      <c r="A556" t="str">
        <v>2026-02-05T09:32:43.503Z</v>
      </c>
      <c r="B556" t="str">
        <v>EDIT ITEM</v>
      </c>
      <c r="C556" t="str">
        <v>BAG-A23X42PE-G</v>
      </c>
      <c r="D556" t="str">
        <v>Qty: "12×19200 | 2×19200 | 9000 | 6000 | 19200 | 12000" -&gt; "12×19200 | 2×19200 | 15000 | 19200 | 12000"</v>
      </c>
    </row>
    <row r="557">
      <c r="A557" t="str">
        <v>2026-02-05T08:57:33.954Z</v>
      </c>
      <c r="B557" t="str">
        <v>PRINT</v>
      </c>
      <c r="C557" t="str">
        <v>-</v>
      </c>
      <c r="D557" t="str">
        <v>Inventory count sheet printed.</v>
      </c>
    </row>
    <row r="558">
      <c r="A558" t="str">
        <v>2026-02-05T08:57:14.711Z</v>
      </c>
      <c r="B558" t="str">
        <v>BULK WITHDRAW</v>
      </c>
      <c r="C558" t="str">
        <v>9 items</v>
      </c>
      <c r="D558" t="str">
        <v>BAG-B21.50X29PE (-24,000), BAG-B23X30.32W/HO (-24,000), BAG-A23X42PE-G (-15,000), BAG-A26X32.50PE (-24,000), LBL-COCL22G_NS (-48), LBL-RCL24G_NS (-48), LBL-RCSUA85GEXP-US (-106), LBL-RCUA90G-8_NS (-18), LBL-CRPL24G-VL-ND (-48)</v>
      </c>
    </row>
    <row r="559">
      <c r="A559" t="str">
        <v>2026-02-05T08:55:34.294Z</v>
      </c>
      <c r="B559" t="str">
        <v>BULK WITHDRAW</v>
      </c>
      <c r="C559" t="str">
        <v>16 items</v>
      </c>
      <c r="D559" t="str">
        <v>BAG-A19.5X35PE (-15,000), BAG-B21.50X29PE (-150,000), BAG-A26X30HD (-3,000), BAG-A25.5X32PE (-75,000), BAG-A26X45HD (-3,000), BAG-A26.5X37.5PE (-15,000), BAG-B10.50X12PP (-50,000), BAG-B15.50X23PE (-6,000), BAG-B20.87X31.89FH (-15,000), BUNDLES-44X60 (-5,000), LBL-OFKLF22G_NS (-72), LBL-PFBQBM50G_NS (-10), LBL-RCL24G_NS (-192), LBL-RCUA90G-8_NS (-5), LBL-SOPCF60GH_NS (-10), LBL-SOPCUA90G8_NS (-8)</v>
      </c>
    </row>
    <row r="560">
      <c r="A560" t="str">
        <v>2026-02-05T08:51:57.703Z</v>
      </c>
      <c r="B560" t="str">
        <v>BULK WITHDRAW</v>
      </c>
      <c r="C560" t="str">
        <v>4 items</v>
      </c>
      <c r="D560" t="str">
        <v>LBL-PFKBM50G-H_NS (-4), LBL-PFKLB21G_NS (-40), LBL-RCSL24G_NS (-48), LBL-RCSUA85G8_NS (-18)</v>
      </c>
    </row>
    <row r="561">
      <c r="A561" t="str">
        <v>2026-02-05T08:49:49.615Z</v>
      </c>
      <c r="B561" t="str">
        <v>DELIVERY (BULK)</v>
      </c>
      <c r="C561" t="str">
        <v>BAG-B10.50X12PP</v>
      </c>
      <c r="D561" t="str">
        <v>+718,000 pcs</v>
      </c>
    </row>
    <row r="562">
      <c r="A562" t="str">
        <v>2026-02-05T08:49:49.549Z</v>
      </c>
      <c r="B562" t="str">
        <v>DELIVERY (BULK)</v>
      </c>
      <c r="C562" t="str">
        <v>BAG-B11.50X16</v>
      </c>
      <c r="D562" t="str">
        <v>+297,000 pcs</v>
      </c>
    </row>
    <row r="563">
      <c r="A563" t="str">
        <v>2026-02-05T08:49:49.475Z</v>
      </c>
      <c r="B563" t="str">
        <v>DELIVERY (BULK)</v>
      </c>
      <c r="C563" t="str">
        <v>BAG-B17.5X34PE</v>
      </c>
      <c r="D563" t="str">
        <v>+37,200 pcs</v>
      </c>
    </row>
    <row r="564">
      <c r="A564" t="str">
        <v>2026-02-05T08:49:49.402Z</v>
      </c>
      <c r="B564" t="str">
        <v>DELIVERY (BULK)</v>
      </c>
      <c r="C564" t="str">
        <v>BAG-B21.50X29PE</v>
      </c>
      <c r="D564" t="str">
        <v>+42,600 pcs</v>
      </c>
    </row>
    <row r="565">
      <c r="A565" t="str">
        <v>2026-02-05T08:49:49.327Z</v>
      </c>
      <c r="B565" t="str">
        <v>DELIVERY (BULK)</v>
      </c>
      <c r="C565" t="str">
        <v>BAG-B22.50X34PE</v>
      </c>
      <c r="D565" t="str">
        <v>+78,900 pcs</v>
      </c>
    </row>
    <row r="566">
      <c r="A566" t="str">
        <v>2026-02-05T08:49:49.258Z</v>
      </c>
      <c r="B566" t="str">
        <v>DELIVERY (BULK)</v>
      </c>
      <c r="C566" t="str">
        <v>BAG-A25.5X32PE</v>
      </c>
      <c r="D566" t="str">
        <v>+74,700 pcs</v>
      </c>
    </row>
    <row r="567">
      <c r="A567" t="str">
        <v>2026-02-04T22:15:34.053Z</v>
      </c>
      <c r="B567" t="str">
        <v>EXPORT REPORT</v>
      </c>
      <c r="C567" t="str">
        <v>-</v>
      </c>
      <c r="D567" t="str">
        <v>Human-readable report exported.</v>
      </c>
    </row>
    <row r="568">
      <c r="A568" t="str">
        <v>2026-02-04T22:15:30.724Z</v>
      </c>
      <c r="B568" t="str">
        <v>BACKUP</v>
      </c>
      <c r="C568" t="str">
        <v>-</v>
      </c>
      <c r="D568" t="str">
        <v>Full inventory state backed up.</v>
      </c>
    </row>
    <row r="569">
      <c r="A569" t="str">
        <v>2026-02-04T22:15:01.287Z</v>
      </c>
      <c r="B569" t="str">
        <v>EDIT ITEM</v>
      </c>
      <c r="C569" t="str">
        <v>BAG-B23X29.53W/HO</v>
      </c>
      <c r="D569" t="str">
        <v>Qty: "" -&gt; "3x24000 l 9900"</v>
      </c>
    </row>
    <row r="570">
      <c r="A570" t="str">
        <v>2026-02-04T22:11:20.085Z</v>
      </c>
      <c r="B570" t="str">
        <v>RESTORE</v>
      </c>
      <c r="C570" t="str">
        <v>-</v>
      </c>
      <c r="D570" t="str">
        <v>Full inventory state restored from backup_02-04-26_6-00-AM_NS.xlsx.</v>
      </c>
    </row>
    <row r="571">
      <c r="A571" t="str">
        <v>2026-02-04T21:37:53.271Z</v>
      </c>
      <c r="B571" t="str">
        <v>PRINT</v>
      </c>
      <c r="C571" t="str">
        <v>-</v>
      </c>
      <c r="D571" t="str">
        <v>Inventory count sheet printed.</v>
      </c>
    </row>
    <row r="572">
      <c r="A572" t="str">
        <v>2026-02-04T21:37:27.089Z</v>
      </c>
      <c r="B572" t="str">
        <v>EXPORT REPORT</v>
      </c>
      <c r="C572" t="str">
        <v>-</v>
      </c>
      <c r="D572" t="str">
        <v>Human-readable report exported.</v>
      </c>
    </row>
    <row r="573">
      <c r="A573" t="str">
        <v>2026-02-04T21:37:11.527Z</v>
      </c>
      <c r="B573" t="str">
        <v>BACKUP</v>
      </c>
      <c r="C573" t="str">
        <v>-</v>
      </c>
      <c r="D573" t="str">
        <v>Full inventory state backed up.</v>
      </c>
    </row>
    <row r="574">
      <c r="A574" t="str">
        <v>2026-02-04T21:36:24.502Z</v>
      </c>
      <c r="B574" t="str">
        <v>EDIT ITEM</v>
      </c>
      <c r="C574" t="str">
        <v>LBL-RCL24G_NS</v>
      </c>
      <c r="D574" t="str">
        <v>Qty: "18×48 | 10 | 14×48 | 45" -&gt; "19×48 | 10 | 13×48 | 45"</v>
      </c>
    </row>
    <row r="575">
      <c r="A575" t="str">
        <v>2026-02-04T21:36:02.320Z</v>
      </c>
      <c r="B575" t="str">
        <v>EDIT ITEM</v>
      </c>
      <c r="C575" t="str">
        <v>LBL-SOPCL24G_NS</v>
      </c>
      <c r="D575" t="str">
        <v>Qty: "4×48 | 10 l 4" -&gt; "4×48 | 14"</v>
      </c>
    </row>
    <row r="576">
      <c r="A576" t="str">
        <v>2026-02-04T21:35:43.143Z</v>
      </c>
      <c r="B576" t="str">
        <v>EDIT ITEM</v>
      </c>
      <c r="C576" t="str">
        <v>LBL-PFCLB21G_NS</v>
      </c>
      <c r="D576" t="str">
        <v>Qty: "4×48" -&gt; "4×48 l 47"</v>
      </c>
    </row>
    <row r="577">
      <c r="A577" t="str">
        <v>2026-02-04T20:37:13.398Z</v>
      </c>
      <c r="B577" t="str">
        <v>EDIT ITEM</v>
      </c>
      <c r="C577" t="str">
        <v>BAG-B18X30BPE</v>
      </c>
      <c r="D577" t="str">
        <v>Qty: "21×36000 | 24000" -&gt; "22×36000"</v>
      </c>
    </row>
    <row r="578">
      <c r="A578" t="str">
        <v>2026-02-04T19:40:23.809Z</v>
      </c>
      <c r="B578" t="str">
        <v>PRINT</v>
      </c>
      <c r="C578" t="str">
        <v>-</v>
      </c>
      <c r="D578" t="str">
        <v>Inventory count sheet printed.</v>
      </c>
    </row>
    <row r="579">
      <c r="A579" t="str">
        <v>2026-02-04T19:40:03.885Z</v>
      </c>
      <c r="B579" t="str">
        <v>PRINT</v>
      </c>
      <c r="C579" t="str">
        <v>-</v>
      </c>
      <c r="D579" t="str">
        <v>Inventory count sheet printed.</v>
      </c>
    </row>
    <row r="580">
      <c r="A580" t="str">
        <v>2026-02-04T19:39:29.950Z</v>
      </c>
      <c r="B580" t="str">
        <v>BULK WITHDRAW</v>
      </c>
      <c r="C580" t="str">
        <v>1 items</v>
      </c>
      <c r="D580" t="str">
        <v>BAG-B18X30BPE (-12,000)</v>
      </c>
    </row>
    <row r="581">
      <c r="A581" t="str">
        <v>2026-02-04T19:37:33.418Z</v>
      </c>
      <c r="B581" t="str">
        <v>BULK WITHDRAW</v>
      </c>
      <c r="C581" t="str">
        <v>5 items</v>
      </c>
      <c r="D581" t="str">
        <v>LBL-CRPUA85G8_NS (-12), LBL-EHOPCL24G_NS (-20), LBL-PFKLB21G_NS (-9), LBL-RCL24G_NS (-48), LBL-CRPL24G-VL-ND (-48)</v>
      </c>
    </row>
    <row r="582">
      <c r="A582" t="str">
        <v>2026-02-04T09:06:39.614Z</v>
      </c>
      <c r="B582" t="str">
        <v>PRINT</v>
      </c>
      <c r="C582" t="str">
        <v>-</v>
      </c>
      <c r="D582" t="str">
        <v>Inventory count sheet printed.</v>
      </c>
    </row>
    <row r="583">
      <c r="A583" t="str">
        <v>2026-02-04T09:06:32.336Z</v>
      </c>
      <c r="B583" t="str">
        <v>EXPORT REPORT</v>
      </c>
      <c r="C583" t="str">
        <v>-</v>
      </c>
      <c r="D583" t="str">
        <v>Human-readable report exported.</v>
      </c>
    </row>
    <row r="584">
      <c r="A584" t="str">
        <v>2026-02-04T09:06:23.893Z</v>
      </c>
      <c r="B584" t="str">
        <v>BACKUP</v>
      </c>
      <c r="C584" t="str">
        <v>-</v>
      </c>
      <c r="D584" t="str">
        <v>Full inventory state backed up.</v>
      </c>
    </row>
    <row r="585">
      <c r="A585" t="str">
        <v>2026-02-04T09:05:27.764Z</v>
      </c>
      <c r="B585" t="str">
        <v>EDIT ITEM</v>
      </c>
      <c r="C585" t="str">
        <v>LBL-RCL24G_NS</v>
      </c>
      <c r="D585" t="str">
        <v>Qty: "18×48 | 47 | 7×48 | 11 | 7×48 | 45" -&gt; "19×48 | 10 | 14×48 | 45"</v>
      </c>
    </row>
    <row r="586">
      <c r="A586" t="str">
        <v>2026-02-04T09:04:39.155Z</v>
      </c>
      <c r="B586" t="str">
        <v>EDIT ITEM</v>
      </c>
      <c r="C586" t="str">
        <v>LBL-EHOPCUA90G8_NS</v>
      </c>
      <c r="D586" t="str">
        <v>Qty: "3×18 | 8 | 19" -&gt; "4×18 | 9"</v>
      </c>
    </row>
    <row r="587">
      <c r="A587" t="str">
        <v>2026-02-04T09:04:20.980Z</v>
      </c>
      <c r="B587" t="str">
        <v>EDIT ITEM</v>
      </c>
      <c r="C587" t="str">
        <v>LBL-CRPUA85G8_NS</v>
      </c>
      <c r="D587" t="str">
        <v>Qty: "2×18 l 16" -&gt; "18 | 4"</v>
      </c>
    </row>
    <row r="588">
      <c r="A588" t="str">
        <v>2026-02-04T09:04:02.260Z</v>
      </c>
      <c r="B588" t="str">
        <v>EDIT ITEM</v>
      </c>
      <c r="C588" t="str">
        <v>LBL-CRPL24G-VL-ND</v>
      </c>
      <c r="D588" t="str">
        <v>Qty: "11 | 20×48 | 10×48 | 42×48 | 1 | 13×48" -&gt; "11 | 20×48 | 11×48 | 42×48 | 1 | 12×48"</v>
      </c>
    </row>
    <row r="589">
      <c r="A589" t="str">
        <v>2026-02-04T09:03:44.660Z</v>
      </c>
      <c r="B589" t="str">
        <v>EDIT ITEM</v>
      </c>
      <c r="C589" t="str">
        <v>LBL-COCL22G_NS</v>
      </c>
      <c r="D589" t="str">
        <v>Qty: "6×48 | 39 | 9×48 | 56" -&gt; "7×48 | 47 | 9×48 "</v>
      </c>
    </row>
    <row r="590">
      <c r="A590" t="str">
        <v>2026-02-04T08:19:22.774Z</v>
      </c>
      <c r="B590" t="str">
        <v>PRINT</v>
      </c>
      <c r="C590" t="str">
        <v>-</v>
      </c>
      <c r="D590" t="str">
        <v>Inventory count sheet printed.</v>
      </c>
    </row>
    <row r="591">
      <c r="A591" t="str">
        <v>2026-02-04T08:18:57.618Z</v>
      </c>
      <c r="B591" t="str">
        <v>DELIVERY (BULK)</v>
      </c>
      <c r="C591" t="str">
        <v>LBL-RCL24G_NS</v>
      </c>
      <c r="D591" t="str">
        <v>+381 pcs</v>
      </c>
    </row>
    <row r="592">
      <c r="A592" t="str">
        <v>2026-02-04T05:50:07.131Z</v>
      </c>
      <c r="B592" t="str">
        <v>BULK WITHDRAW</v>
      </c>
      <c r="C592" t="str">
        <v>9 items</v>
      </c>
      <c r="D592" t="str">
        <v>BAG-B21.50X29PE (-24,000), BAG-A26X32.50PE (-24,000), LBL-COCL22G_NS (-24), LBL-EHOPCF60G_NS (-20), LBL-EHOPCL24G_NS (-60), LBL-EHOPCUA90G8_NS (-18), LBL-RCL24G_NS (-48), LBL-SSCL24G_NS (-48), LBL-CRPL24G-VL-ND (-48)</v>
      </c>
    </row>
    <row r="593">
      <c r="A593" t="str">
        <v>2026-02-04T05:45:48.178Z</v>
      </c>
      <c r="B593" t="str">
        <v>EDIT ITEM</v>
      </c>
      <c r="C593" t="str">
        <v>LBL-SSCL24G_NS</v>
      </c>
      <c r="D593" t="str">
        <v>Qty: "2×48 | 35" -&gt; "2×48 | 24 l 11"</v>
      </c>
    </row>
    <row r="594">
      <c r="A594" t="str">
        <v>2026-02-04T05:45:30.530Z</v>
      </c>
      <c r="B594" t="str">
        <v>EDIT ITEM</v>
      </c>
      <c r="C594" t="str">
        <v>LBL-SOPCUA90G8E_UNI</v>
      </c>
      <c r="D594" t="str">
        <v>Qty: "4×18 | 9" -&gt; "3×18 | 14 l 13"</v>
      </c>
    </row>
    <row r="595">
      <c r="A595" t="str">
        <v>2026-02-04T05:44:59.562Z</v>
      </c>
      <c r="B595" t="str">
        <v>EDIT ITEM</v>
      </c>
      <c r="C595" t="str">
        <v>LBL-SOPCL24G_NS</v>
      </c>
      <c r="D595" t="str">
        <v>Qty: "4×48 | 14" -&gt; "4×48 | 10 l 4"</v>
      </c>
    </row>
    <row r="596">
      <c r="A596" t="str">
        <v>2026-02-04T05:44:41.690Z</v>
      </c>
      <c r="B596" t="str">
        <v>EDIT ITEM</v>
      </c>
      <c r="C596" t="str">
        <v>LBL-RCL24G_NS</v>
      </c>
      <c r="D596" t="str">
        <v>Qty: "19×48 | 47 | 6×48 | 48 | 11" -&gt; "19×48 | 47 | 7×48 | 11"</v>
      </c>
    </row>
    <row r="597">
      <c r="A597" t="str">
        <v>2026-02-04T05:44:21.770Z</v>
      </c>
      <c r="B597" t="str">
        <v>EDIT ITEM</v>
      </c>
      <c r="C597" t="str">
        <v>LBL-PFKLB21G_NS</v>
      </c>
      <c r="D597" t="str">
        <v>Qty: "7×48 | 18 | 21" -&gt; "7×48 | 39"</v>
      </c>
    </row>
    <row r="598">
      <c r="A598" t="str">
        <v>2026-02-04T05:43:46.106Z</v>
      </c>
      <c r="B598" t="str">
        <v>EDIT ITEM</v>
      </c>
      <c r="C598" t="str">
        <v>LBL-OORXS5G-E_NS</v>
      </c>
      <c r="D598" t="str">
        <v>Qty: "2×96 | 29 | 192" -&gt; "2×96 | 29 | 2x96"</v>
      </c>
    </row>
    <row r="599">
      <c r="A599" t="str">
        <v>2026-02-04T05:43:20.698Z</v>
      </c>
      <c r="B599" t="str">
        <v>EDIT ITEM</v>
      </c>
      <c r="C599" t="str">
        <v>LBL-OFCL24G-VL-ND</v>
      </c>
      <c r="D599" t="str">
        <v>Qty: "12×48 | 17×48 | 21 | 11 | 18 | 47" -&gt; "12×48 | 16×48 | 21 | 11 | 18 | 47"</v>
      </c>
    </row>
    <row r="600">
      <c r="A600" t="str">
        <v>2026-02-04T05:43:08.218Z</v>
      </c>
      <c r="B600" t="str">
        <v>EDIT ITEM</v>
      </c>
      <c r="C600" t="str">
        <v>LBL-OFCL24G-VL-ND</v>
      </c>
      <c r="D600" t="str">
        <v>Qty: "11×48 | 17×48 | 21 | 11 | 18 | 47" -&gt; "12×48 | 17×48 | 21 | 11 | 18 | 47"</v>
      </c>
    </row>
    <row r="601">
      <c r="A601" t="str">
        <v>2026-02-04T05:42:47.858Z</v>
      </c>
      <c r="B601" t="str">
        <v>EDIT ITEM</v>
      </c>
      <c r="C601" t="str">
        <v>LBL-CRPUA85G8_NS</v>
      </c>
      <c r="D601" t="str">
        <v>Qty: "4×18" -&gt; "2×18 l 16"</v>
      </c>
    </row>
    <row r="602">
      <c r="A602" t="str">
        <v>2026-02-04T05:42:16.722Z</v>
      </c>
      <c r="B602" t="str">
        <v>EDIT ITEM</v>
      </c>
      <c r="C602" t="str">
        <v>BUNDLES-44X60</v>
      </c>
      <c r="D602" t="str">
        <v>Qty: "5×6400 | 5600" -&gt; "5×6400 | 5600 l 100"</v>
      </c>
    </row>
    <row r="603">
      <c r="A603" t="str">
        <v>2026-02-04T05:41:48.578Z</v>
      </c>
      <c r="B603" t="str">
        <v>EDIT ITEM</v>
      </c>
      <c r="C603" t="str">
        <v>BAG-B21.50X29PE</v>
      </c>
      <c r="D603" t="str">
        <v>Qty: "33×24000 | 7×24000 | 900 | 3×24000 | 14400" -&gt; "29×24000 | 10×24000 | 6000 | 3×24000 | 14400"</v>
      </c>
    </row>
    <row r="604">
      <c r="A604" t="str">
        <v>2026-02-04T05:41:05.163Z</v>
      </c>
      <c r="B604" t="str">
        <v>EDIT ITEM</v>
      </c>
      <c r="C604" t="str">
        <v>BAG-B20.87X31.89FH</v>
      </c>
      <c r="D604" t="str">
        <v>Qty: "24000 | 10800 | 3×24000 | 16200 | 26400" -&gt; "2x24000 | 10800 | 2×24000 | 16200 | 26400"</v>
      </c>
    </row>
    <row r="605">
      <c r="A605" t="str">
        <v>2026-02-03T21:48:33.062Z</v>
      </c>
      <c r="B605" t="str">
        <v>PRINT</v>
      </c>
      <c r="C605" t="str">
        <v>-</v>
      </c>
      <c r="D605" t="str">
        <v>Inventory count sheet printed.</v>
      </c>
    </row>
    <row r="606">
      <c r="A606" t="str">
        <v>2026-02-03T21:40:32.741Z</v>
      </c>
      <c r="B606" t="str">
        <v>EXPORT REPORT</v>
      </c>
      <c r="C606" t="str">
        <v>-</v>
      </c>
      <c r="D606" t="str">
        <v>Human-readable report exported.</v>
      </c>
    </row>
    <row r="607">
      <c r="A607" t="str">
        <v>2026-02-03T21:40:17.864Z</v>
      </c>
      <c r="B607" t="str">
        <v>BACKUP</v>
      </c>
      <c r="C607" t="str">
        <v>-</v>
      </c>
      <c r="D607" t="str">
        <v>Full inventory state backed up.</v>
      </c>
    </row>
    <row r="608">
      <c r="A608" t="str">
        <v>2026-02-03T21:35:37.968Z</v>
      </c>
      <c r="B608" t="str">
        <v>PRINT</v>
      </c>
      <c r="C608" t="str">
        <v>-</v>
      </c>
      <c r="D608" t="str">
        <v>Inventory count sheet printed.</v>
      </c>
    </row>
    <row r="609">
      <c r="A609" t="str">
        <v>2026-02-03T21:34:52.242Z</v>
      </c>
      <c r="B609" t="str">
        <v>BULK WITHDRAW</v>
      </c>
      <c r="C609" t="str">
        <v>22 items</v>
      </c>
      <c r="D609" t="str">
        <v>BAG-A19.5X35PE (-24,000), BAG-B21.50X29PE (-90,000), BAG-A22X30PEW/FLAP (-24,000), BAG-B23X30.32W/HO (-93,000), BAG-B20.87X31.89FH (-24,000), BUNDLES-44X60 (-6,450), LBL-CRPUA85G8_NS (-12), LBL-OFCUA90G8_NS (-18), LBL-OFKLF22G_NS (-216), LBL-OORL16G_NS (-192), LBL-OPCF60GH_NS (-36), LBL-OPCL24G_NS (-96), LBL-PFBM50G-H_NS (-5), LBL-PFCBM50G_NS (-24), LBL-PFCLB21G_NS (-89), LBL-PFKLB21G_NS (-30), LBL-RCL24G_NS (-40), LBL-SOPCL24G_NS (-38), LBL-SOPCUA90G8E_UNI (-24), LBL-SSCL24G_NS (-24), LBL-OFCL24G-VL-ND (-240), LBL-CRPL24G-VL-ND (-48)</v>
      </c>
    </row>
    <row r="610">
      <c r="A610" t="str">
        <v>2026-02-03T21:27:43.959Z</v>
      </c>
      <c r="B610" t="str">
        <v>DELIVERY (BULK)</v>
      </c>
      <c r="C610" t="str">
        <v>BAG-B21.50X29PE</v>
      </c>
      <c r="D610" t="str">
        <v>+86,400 pcs</v>
      </c>
    </row>
    <row r="611">
      <c r="A611" t="str">
        <v>2026-02-03T21:27:43.872Z</v>
      </c>
      <c r="B611" t="str">
        <v>DELIVERY (BULK)</v>
      </c>
      <c r="C611" t="str">
        <v>BAG-A25.5X32PE</v>
      </c>
      <c r="D611" t="str">
        <v>+86,400 pcs</v>
      </c>
    </row>
    <row r="612">
      <c r="A612" t="str">
        <v>2026-02-03T21:27:43.798Z</v>
      </c>
      <c r="B612" t="str">
        <v>DELIVERY (BULK)</v>
      </c>
      <c r="C612" t="str">
        <v>BAG-A20.5X45PE</v>
      </c>
      <c r="D612" t="str">
        <v>+109,900 pcs</v>
      </c>
    </row>
    <row r="613">
      <c r="A613" t="str">
        <v>2026-02-03T21:27:43.710Z</v>
      </c>
      <c r="B613" t="str">
        <v>DELIVERY (BULK)</v>
      </c>
      <c r="C613" t="str">
        <v>BAG-B22.50X34PE</v>
      </c>
      <c r="D613" t="str">
        <v>+180,000 pcs</v>
      </c>
    </row>
    <row r="614">
      <c r="A614" t="str">
        <v>2026-02-03T21:27:43.627Z</v>
      </c>
      <c r="B614" t="str">
        <v>DELIVERY (BULK)</v>
      </c>
      <c r="C614" t="str">
        <v>BAG-A26.5X37.5PE</v>
      </c>
      <c r="D614" t="str">
        <v>+54,000 pcs</v>
      </c>
    </row>
    <row r="615">
      <c r="A615" t="str">
        <v>2026-02-03T21:24:42.297Z</v>
      </c>
      <c r="B615" t="str">
        <v>DELIVERY (BULK)</v>
      </c>
      <c r="C615" t="str">
        <v>LBL-OORXS5G-E_NS</v>
      </c>
      <c r="D615" t="str">
        <v>+192 pcs</v>
      </c>
    </row>
    <row r="616">
      <c r="A616" t="str">
        <v>2026-02-03T21:24:42.228Z</v>
      </c>
      <c r="B616" t="str">
        <v>DELIVERY (BULK)</v>
      </c>
      <c r="C616" t="str">
        <v>LBL-RCL24G_NS</v>
      </c>
      <c r="D616" t="str">
        <v>+59 pcs</v>
      </c>
    </row>
    <row r="617">
      <c r="A617" t="str">
        <v>2026-02-03T09:53:05.819Z</v>
      </c>
      <c r="B617" t="str">
        <v>EXPORT REPORT</v>
      </c>
      <c r="C617" t="str">
        <v>-</v>
      </c>
      <c r="D617" t="str">
        <v>Human-readable report exported.</v>
      </c>
    </row>
    <row r="618">
      <c r="A618" t="str">
        <v>2026-02-03T09:53:01.473Z</v>
      </c>
      <c r="B618" t="str">
        <v>BACKUP</v>
      </c>
      <c r="C618" t="str">
        <v>-</v>
      </c>
      <c r="D618" t="str">
        <v>Full inventory state backed up.</v>
      </c>
    </row>
    <row r="619">
      <c r="A619" t="str">
        <v>2026-02-03T09:52:12.517Z</v>
      </c>
      <c r="B619" t="str">
        <v>BACKUP</v>
      </c>
      <c r="C619" t="str">
        <v>-</v>
      </c>
      <c r="D619" t="str">
        <v>Full inventory state backed up.</v>
      </c>
    </row>
    <row r="620">
      <c r="A620" t="str">
        <v>2026-02-03T09:42:12.369Z</v>
      </c>
      <c r="B620" t="str">
        <v>PRINT</v>
      </c>
      <c r="C620" t="str">
        <v>-</v>
      </c>
      <c r="D620" t="str">
        <v>Inventory count sheet printed.</v>
      </c>
    </row>
    <row r="621">
      <c r="A621" t="str">
        <v>2026-02-03T09:39:39.466Z</v>
      </c>
      <c r="B621" t="str">
        <v>EDIT ITEM</v>
      </c>
      <c r="C621" t="str">
        <v>LBL-OFKLF22G_NS</v>
      </c>
      <c r="D621" t="str">
        <v>Qty: "12×36 | 27 | 30 | 36 | 20×36" -&gt; "14×36 | 21 | 20×36"</v>
      </c>
    </row>
    <row r="622">
      <c r="A622" t="str">
        <v>2026-02-03T09:39:12.906Z</v>
      </c>
      <c r="B622" t="str">
        <v>EDIT ITEM</v>
      </c>
      <c r="C622" t="str">
        <v>LBL-MIGSWCL28G_NS</v>
      </c>
      <c r="D622" t="str">
        <v>Qty: "48 | 36 | 28" -&gt; "2x48 | 16"</v>
      </c>
    </row>
    <row r="623">
      <c r="A623" t="str">
        <v>2026-02-03T09:38:24.834Z</v>
      </c>
      <c r="B623" t="str">
        <v>EDIT ITEM</v>
      </c>
      <c r="C623" t="str">
        <v>LBL-CRPL24G-VL-ND</v>
      </c>
      <c r="D623" t="str">
        <v>Qty: "11 | 20×48 | 11×48 | 42×48 | 1 | 14×48" -&gt; "11 | 20×48 | 12×48 | 42×48 | 1 | 13×48"</v>
      </c>
    </row>
    <row r="624">
      <c r="A624" t="str">
        <v>2026-02-03T09:37:58.266Z</v>
      </c>
      <c r="B624" t="str">
        <v>EDIT ITEM</v>
      </c>
      <c r="C624" t="str">
        <v>BAG-B23X30.32W/HO</v>
      </c>
      <c r="D624" t="str">
        <v>Qty: "9×24000 | 4800 | 15000" -&gt; "9×24000 | 6900 | 12900"</v>
      </c>
    </row>
    <row r="625">
      <c r="A625" t="str">
        <v>2026-02-03T09:37:31.810Z</v>
      </c>
      <c r="B625" t="str">
        <v>EDIT ITEM</v>
      </c>
      <c r="C625" t="str">
        <v>BAG-B21.50X29PE</v>
      </c>
      <c r="D625" t="str">
        <v>Qty: "33×24000 | 9×24000 | 19500 | 23400 " -&gt; "33×24000 | 10×24000 | 18900"</v>
      </c>
    </row>
    <row r="626">
      <c r="A626" t="str">
        <v>2026-02-03T09:37:12.154Z</v>
      </c>
      <c r="B626" t="str">
        <v>EDIT ITEM</v>
      </c>
      <c r="C626" t="str">
        <v>BAG-B20.87X31.89FH</v>
      </c>
      <c r="D626" t="str">
        <v>Qty: "600 | 2×24000 | 10800 | 3×24000 | 10500 | 3000 | 26400 | 2100" -&gt; "2×24000 | 10800 | 3×24000 | 16200 l 26400"</v>
      </c>
    </row>
    <row r="627">
      <c r="A627" t="str">
        <v>2026-02-03T09:36:13.722Z</v>
      </c>
      <c r="B627" t="str">
        <v>EDIT ITEM</v>
      </c>
      <c r="C627" t="str">
        <v>BAG-B17.5X34PE</v>
      </c>
      <c r="D627" t="str">
        <v>Qty: "4×30000 | 6×24000 | 18600 | 2×24000 | 6000 | 24600" -&gt; "4×30000 | 6×24000 | 19200 | 2×24000 | 6000 "</v>
      </c>
    </row>
    <row r="628">
      <c r="A628" t="str">
        <v>2026-02-03T09:35:44.682Z</v>
      </c>
      <c r="B628" t="str">
        <v>EDIT ITEM</v>
      </c>
      <c r="C628" t="str">
        <v>BAG-B15.50X42PE</v>
      </c>
      <c r="D628" t="str">
        <v>Qty: "36000 | 15900 l 16200 | 2×36000 | 10800 | 7×27000" -&gt; "36000 | 9900 | 16200 | 2×36000 | 10800 | 7×27000"</v>
      </c>
    </row>
    <row r="629">
      <c r="A629" t="str">
        <v>2026-02-03T09:35:29.611Z</v>
      </c>
      <c r="B629" t="str">
        <v>EDIT ITEM</v>
      </c>
      <c r="C629" t="str">
        <v>BAG-A26X45HD</v>
      </c>
      <c r="D629" t="str">
        <v>Qty: "4×19200 | 24000 | 18000 | 2×19200" -&gt; "3×19200 | 2x24000 | 13200 | 2×19200"</v>
      </c>
    </row>
    <row r="630">
      <c r="A630" t="str">
        <v>2026-02-03T09:34:54.498Z</v>
      </c>
      <c r="B630" t="str">
        <v>EDIT ITEM</v>
      </c>
      <c r="C630" t="str">
        <v>BAG-A26X32.50PE</v>
      </c>
      <c r="D630" t="str">
        <v>Qty: "10×24000 | 25600 | 15×24000 | 10×24000 | 3000" -&gt; "11×24000 | 4600 | 15×24000 | 10×24000"</v>
      </c>
    </row>
    <row r="631">
      <c r="A631" t="str">
        <v>2026-02-03T09:34:14.778Z</v>
      </c>
      <c r="B631" t="str">
        <v>EDIT ITEM</v>
      </c>
      <c r="C631" t="str">
        <v>BAG-A25.5X32PE</v>
      </c>
      <c r="D631" t="str">
        <v>Qty: "9×24000 | 24000 | 19200 |  12300 l 7200 | 24000 | 11700" -&gt; "10×24000 | 24000 | 19200 | 12300 | 7200 | 11700"</v>
      </c>
    </row>
    <row r="632">
      <c r="A632" t="str">
        <v>2026-02-03T09:33:56.186Z</v>
      </c>
      <c r="B632" t="str">
        <v>EDIT ITEM</v>
      </c>
      <c r="C632" t="str">
        <v>BAG-A19.5X35PE</v>
      </c>
      <c r="D632" t="str">
        <v>Qty: "13×24000 | 13350 | 4×24000 | 18600 | 26400" -&gt; "14×24000 | 25350 | 4×24000"</v>
      </c>
    </row>
    <row r="633">
      <c r="A633" t="str">
        <v>2026-02-03T09:10:28.938Z</v>
      </c>
      <c r="B633" t="str">
        <v>EDIT ITEM</v>
      </c>
      <c r="C633" t="str">
        <v>BAG-B21.50X29PE</v>
      </c>
      <c r="D633" t="str">
        <v>Qty: "33×24000 | 9×24000 | 19500 | 23400 | 23400" -&gt; "33×24000 | 9×24000 | 19500 | 23400 "</v>
      </c>
    </row>
    <row r="634">
      <c r="A634" t="str">
        <v>2026-02-03T09:07:08.354Z</v>
      </c>
      <c r="B634" t="str">
        <v>BULK WITHDRAW</v>
      </c>
      <c r="C634" t="str">
        <v>10 items</v>
      </c>
      <c r="D634" t="str">
        <v>BAG-B21.50X29PE (-105,000), BAG-B23X30.32W/HO (-12,000), BAG-A26X45HD (-6,000), BAG-A26.5X37.5PE (-9,000), BAG-B20.87X31.89FH (-15,000), LBL-PFCBM50G_NS (-5), LBL-RCSL24G_NS (-48), LBL-SOPCF60GH_NS (-18), LBL-SOPCUA90G8_NS (-5), LBL-SSCL24G_NS (-48)</v>
      </c>
    </row>
    <row r="635">
      <c r="A635" t="str">
        <v>2026-02-03T09:04:46.570Z</v>
      </c>
      <c r="B635" t="str">
        <v>BULK WITHDRAW</v>
      </c>
      <c r="C635" t="str">
        <v>9 items</v>
      </c>
      <c r="D635" t="str">
        <v>BAG-A26X32.50PE (-24,000), LBL-MIGSWCL28G_NS (-12), LBL-MIGSWCUA105G (-7), LBL-OFKLF22G_NS (-24), LBL-PFCBM50G_NS (-27), LBL-PFCLB21G_NS (-48), LBL-RCL24G_NS (-48), LBL-SOPCF60GH_NS (-7), LBL-CRPL24G-VL-ND (-48)</v>
      </c>
    </row>
    <row r="636">
      <c r="A636" t="str">
        <v>2026-02-03T09:02:31.215Z</v>
      </c>
      <c r="B636" t="str">
        <v>DELIVERY (BULK)</v>
      </c>
      <c r="C636" t="str">
        <v>LBL-RCL24G_NS</v>
      </c>
      <c r="D636" t="str">
        <v>+288 pcs</v>
      </c>
    </row>
    <row r="637">
      <c r="A637" t="str">
        <v>2026-02-03T09:01:16.571Z</v>
      </c>
      <c r="B637" t="str">
        <v>DELIVERY (BULK)</v>
      </c>
      <c r="C637" t="str">
        <v>BAG-B22.50X34PE</v>
      </c>
      <c r="D637" t="str">
        <v>+22,200 pcs</v>
      </c>
    </row>
    <row r="638">
      <c r="A638" t="str">
        <v>2026-02-03T09:01:16.519Z</v>
      </c>
      <c r="B638" t="str">
        <v>DELIVERY (BULK)</v>
      </c>
      <c r="C638" t="str">
        <v>BAG-B17.5X34PE</v>
      </c>
      <c r="D638" t="str">
        <v>+24,600 pcs</v>
      </c>
    </row>
    <row r="639">
      <c r="A639" t="str">
        <v>2026-02-03T09:01:16.444Z</v>
      </c>
      <c r="B639" t="str">
        <v>DELIVERY (BULK)</v>
      </c>
      <c r="C639" t="str">
        <v>BAG-A25.5X32PE</v>
      </c>
      <c r="D639" t="str">
        <v>+35,700 pcs</v>
      </c>
    </row>
    <row r="640">
      <c r="A640" t="str">
        <v>2026-02-03T09:01:16.379Z</v>
      </c>
      <c r="B640" t="str">
        <v>DELIVERY (BULK)</v>
      </c>
      <c r="C640" t="str">
        <v>BAG-B21.50X29PE</v>
      </c>
      <c r="D640" t="str">
        <v>+23,400 pcs</v>
      </c>
    </row>
    <row r="641">
      <c r="A641" t="str">
        <v>2026-02-03T09:01:16.319Z</v>
      </c>
      <c r="B641" t="str">
        <v>DELIVERY (BULK)</v>
      </c>
      <c r="C641" t="str">
        <v>BAG-B21.50X29PE</v>
      </c>
      <c r="D641" t="str">
        <v>+23,400 pcs</v>
      </c>
    </row>
    <row r="642">
      <c r="A642" t="str">
        <v>2026-02-03T09:01:16.255Z</v>
      </c>
      <c r="B642" t="str">
        <v>DELIVERY (BULK)</v>
      </c>
      <c r="C642" t="str">
        <v>BAG-B18X27MLRLPE</v>
      </c>
      <c r="D642" t="str">
        <v>+76,800 pcs</v>
      </c>
    </row>
    <row r="643">
      <c r="A643" t="str">
        <v>2026-02-03T09:01:16.183Z</v>
      </c>
      <c r="B643" t="str">
        <v>DELIVERY (BULK)</v>
      </c>
      <c r="C643" t="str">
        <v>BAG-A26X32.50PE</v>
      </c>
      <c r="D643" t="str">
        <v>+243,000 pcs</v>
      </c>
    </row>
    <row r="644">
      <c r="A644" t="str">
        <v>2026-02-02T22:03:40.439Z</v>
      </c>
      <c r="B644" t="str">
        <v>PRINT</v>
      </c>
      <c r="C644" t="str">
        <v>-</v>
      </c>
      <c r="D644" t="str">
        <v>Inventory count sheet printed.</v>
      </c>
    </row>
    <row r="645">
      <c r="A645" t="str">
        <v>2026-02-02T22:03:21.401Z</v>
      </c>
      <c r="B645" t="str">
        <v>RESTORE</v>
      </c>
      <c r="C645" t="str">
        <v>-</v>
      </c>
      <c r="D645" t="str">
        <v>Full inventory state restored from backup_02-02-26_6-00-AM_NS.xlsx.</v>
      </c>
    </row>
    <row r="646">
      <c r="A646" t="str">
        <v>2026-02-01T21:55:22.357Z</v>
      </c>
      <c r="B646" t="str">
        <v>PRINT</v>
      </c>
      <c r="C646" t="str">
        <v>-</v>
      </c>
      <c r="D646" t="str">
        <v>Inventory count sheet printed.</v>
      </c>
    </row>
    <row r="647">
      <c r="A647" t="str">
        <v>2026-02-01T21:54:19.815Z</v>
      </c>
      <c r="B647" t="str">
        <v>PRINT</v>
      </c>
      <c r="C647" t="str">
        <v>-</v>
      </c>
      <c r="D647" t="str">
        <v>Inventory count sheet printed.</v>
      </c>
    </row>
    <row r="648">
      <c r="A648" t="str">
        <v>2026-02-01T21:52:55.968Z</v>
      </c>
      <c r="B648" t="str">
        <v>BACKUP</v>
      </c>
      <c r="C648" t="str">
        <v>-</v>
      </c>
      <c r="D648" t="str">
        <v>Full inventory state backed up.</v>
      </c>
    </row>
    <row r="649">
      <c r="A649" t="str">
        <v>2026-02-01T21:52:48.523Z</v>
      </c>
      <c r="B649" t="str">
        <v>EXPORT REPORT</v>
      </c>
      <c r="C649" t="str">
        <v>-</v>
      </c>
      <c r="D649" t="str">
        <v>Human-readable report exported.</v>
      </c>
    </row>
    <row r="650">
      <c r="A650" t="str">
        <v>2026-02-01T21:51:25.402Z</v>
      </c>
      <c r="B650" t="str">
        <v>EXPORT REPORT</v>
      </c>
      <c r="C650" t="str">
        <v>-</v>
      </c>
      <c r="D650" t="str">
        <v>Human-readable report exported.</v>
      </c>
    </row>
    <row r="651">
      <c r="A651" t="str">
        <v>2026-02-01T21:51:18.811Z</v>
      </c>
      <c r="B651" t="str">
        <v>BACKUP</v>
      </c>
      <c r="C651" t="str">
        <v>-</v>
      </c>
      <c r="D651" t="str">
        <v>Full inventory state backed up.</v>
      </c>
    </row>
    <row r="652">
      <c r="A652" t="str">
        <v>2026-02-01T21:50:19.182Z</v>
      </c>
      <c r="B652" t="str">
        <v>PRINT</v>
      </c>
      <c r="C652" t="str">
        <v>-</v>
      </c>
      <c r="D652" t="str">
        <v>Inventory count sheet printed.</v>
      </c>
    </row>
    <row r="653">
      <c r="A653" t="str">
        <v>2026-02-01T21:49:37.326Z</v>
      </c>
      <c r="B653" t="str">
        <v>EDIT ITEM</v>
      </c>
      <c r="C653" t="str">
        <v>LBL-OPCL24G_NS</v>
      </c>
      <c r="D653" t="str">
        <v>Qty: "14×48 | 38" -&gt; "14×48 | 24 l 14"</v>
      </c>
    </row>
    <row r="654">
      <c r="A654" t="str">
        <v>2026-02-01T21:48:59.533Z</v>
      </c>
      <c r="B654" t="str">
        <v>EDIT ITEM</v>
      </c>
      <c r="C654" t="str">
        <v>BAG-B22.50X37PE</v>
      </c>
      <c r="D654" t="str">
        <v>Qty: "9×24000 | 9600 | 8700 | 7500 | 6000" -&gt; "10×24000 | 7800"</v>
      </c>
    </row>
    <row r="655">
      <c r="A655" t="str">
        <v>2026-02-01T21:48:40.342Z</v>
      </c>
      <c r="B655" t="str">
        <v>EDIT ITEM</v>
      </c>
      <c r="C655" t="str">
        <v>BAG-B21.50X29PE</v>
      </c>
      <c r="D655" t="str">
        <v>Qty: "34×24000 | 14x24000 | 4500" -&gt; "34×24000 | 14×24000 | 4500"</v>
      </c>
    </row>
    <row r="656">
      <c r="A656" t="str">
        <v>2026-02-01T21:48:25.285Z</v>
      </c>
      <c r="B656" t="str">
        <v>EDIT ITEM</v>
      </c>
      <c r="C656" t="str">
        <v>BAG-B21.50X29PE</v>
      </c>
      <c r="D656" t="str">
        <v>Qty: "28×24000 | 16200 | 14100 | 9600 | 10800 | 25500 | 19200 | 15×24000 | 24000 | 4800" -&gt; "34×24000 | 14x24000 | 4500"</v>
      </c>
    </row>
    <row r="657">
      <c r="A657" t="str">
        <v>2026-02-01T21:47:55.196Z</v>
      </c>
      <c r="B657" t="str">
        <v>EDIT ITEM</v>
      </c>
      <c r="C657" t="str">
        <v>BAG-B18X30BPE</v>
      </c>
      <c r="D657" t="str">
        <v>Qty: "12×36000 | 16800 | 10×36000 | 29100 | 32400 l 36000" -&gt; "25×36000 | 6300"</v>
      </c>
    </row>
    <row r="658">
      <c r="A658" t="str">
        <v>2026-02-01T21:47:37.943Z</v>
      </c>
      <c r="B658" t="str">
        <v>EDIT ITEM</v>
      </c>
      <c r="C658" t="str">
        <v>BAG-B17.5X34PE</v>
      </c>
      <c r="D658" t="str">
        <v>Qty: "4×30000 | 6×24000 | 18600 | 2×24000 | 6000" -&gt; "4×30000 | 6×24000 | 18600 | 2×24000 | 6000"</v>
      </c>
    </row>
    <row r="659">
      <c r="A659" t="str">
        <v>2026-02-01T21:47:28.772Z</v>
      </c>
      <c r="B659" t="str">
        <v>EDIT ITEM</v>
      </c>
      <c r="C659" t="str">
        <v>BAG-B17.5X34PE</v>
      </c>
      <c r="D659" t="str">
        <v>Qty: "4×30000 | 6×24000 | 12600 | 6000 | 2×24000 | 6000" -&gt; "4×30000 | 6×24000 | 18600 | 2×24000 | 6000"</v>
      </c>
    </row>
    <row r="660">
      <c r="A660" t="str">
        <v>2026-02-01T21:46:50.925Z</v>
      </c>
      <c r="B660" t="str">
        <v>EDIT ITEM</v>
      </c>
      <c r="C660" t="str">
        <v>BAG-A27X37.50PE</v>
      </c>
      <c r="D660" t="str">
        <v>Qty: "2×24000 | 16500 | 3300" -&gt; "2×24000 | 16500 | 3300"</v>
      </c>
    </row>
    <row r="661">
      <c r="A661" t="str">
        <v>2026-02-01T21:46:39.404Z</v>
      </c>
      <c r="B661" t="str">
        <v>EDIT ITEM</v>
      </c>
      <c r="C661" t="str">
        <v>BAG-A26X32.50PE</v>
      </c>
      <c r="D661" t="str">
        <v>Qty: "11×24000 | 9200 | 15×24000 | 16400" -&gt; "11×24000 | 25600 | 15×24000"</v>
      </c>
    </row>
    <row r="662">
      <c r="A662" t="str">
        <v>2026-02-01T21:46:15.293Z</v>
      </c>
      <c r="B662" t="str">
        <v>EDIT ITEM</v>
      </c>
      <c r="C662" t="str">
        <v>BAG-A22X30PEW/FLAP</v>
      </c>
      <c r="D662" t="str">
        <v>Qty: "24000 | 15000 | 22200 | 24000 | 5400 | 17700" -&gt; "4x24000 | 12300"</v>
      </c>
    </row>
    <row r="663">
      <c r="A663" t="str">
        <v>2026-02-01T21:11:25.158Z</v>
      </c>
      <c r="B663" t="str">
        <v>PRINT</v>
      </c>
      <c r="C663" t="str">
        <v>-</v>
      </c>
      <c r="D663" t="str">
        <v>Inventory count sheet printed.</v>
      </c>
    </row>
    <row r="664">
      <c r="A664" t="str">
        <v>2026-02-01T21:10:44.544Z</v>
      </c>
      <c r="B664" t="str">
        <v>BULK WITHDRAW</v>
      </c>
      <c r="C664" t="str">
        <v>3 items</v>
      </c>
      <c r="D664" t="str">
        <v>BAG-A20.5X45PE (-27,600), LBL-RCL24G_NS (-48), LBL-SOPCL24G_NS (-68)</v>
      </c>
    </row>
    <row r="665">
      <c r="A665" t="str">
        <v>2026-02-01T21:09:51.980Z</v>
      </c>
      <c r="B665" t="str">
        <v>EDIT ITEM</v>
      </c>
      <c r="C665" t="str">
        <v>BAG-A20.5X45PE</v>
      </c>
      <c r="D665" t="str">
        <v>Qty: "6×24000 | 24000 | 3600 | 10800" -&gt; "6×24000 | 24000 | 3600 | 10800"</v>
      </c>
    </row>
    <row r="666">
      <c r="A666" t="str">
        <v>2026-02-01T21:09:27.700Z</v>
      </c>
      <c r="B666" t="str">
        <v>EDIT ITEM</v>
      </c>
      <c r="C666" t="str">
        <v>LBL-SOPCL24G_NS</v>
      </c>
      <c r="D666" t="str">
        <v>Qty: "6×48 | 48 | 24" -&gt; "6×48 | 48 | 24"</v>
      </c>
    </row>
    <row r="667">
      <c r="A667" t="str">
        <v>2026-02-01T21:09:14.532Z</v>
      </c>
      <c r="B667" t="str">
        <v>BULK WITHDRAW</v>
      </c>
      <c r="C667" t="str">
        <v>14 items</v>
      </c>
      <c r="D667" t="str">
        <v>BAG-A22.50X39PE (-21,000), BAG-B21.50X29PE (-58,800), BAG-A22X30PE (-31,500), BAG-B23X30.32W/HO (-24,000), BAG-A26X32.50PE (-24,000), BAG-B13.50X19 (-90,300), BAG-B22.50X34PE (-24,000), LBL-KYFF45GEX_NS (-25), LBL-KYFUA60G8E_NS (-11), LBL-OFKLF22G_NS (-48), LBL-OORL16G_NS (-56), LBL-OPCL24G_NS (-50), LBL-PFCUA90G-8_NS (-12), LBL-CRPL24G-VL-ND (-96)</v>
      </c>
    </row>
    <row r="668">
      <c r="A668" t="str">
        <v>2026-01-31T22:05:27.604Z</v>
      </c>
      <c r="B668" t="str">
        <v>PRINT</v>
      </c>
      <c r="C668" t="str">
        <v>-</v>
      </c>
      <c r="D668" t="str">
        <v>Inventory count sheet printed.</v>
      </c>
    </row>
    <row r="669">
      <c r="A669" t="str">
        <v>2026-01-31T22:05:08.684Z</v>
      </c>
      <c r="B669" t="str">
        <v>PRINT</v>
      </c>
      <c r="C669" t="str">
        <v>-</v>
      </c>
      <c r="D669" t="str">
        <v>Inventory count sheet printed.</v>
      </c>
    </row>
    <row r="670">
      <c r="A670" t="str">
        <v>2026-01-31T21:38:43.333Z</v>
      </c>
      <c r="B670" t="str">
        <v>EXPORT REPORT</v>
      </c>
      <c r="C670" t="str">
        <v>-</v>
      </c>
      <c r="D670" t="str">
        <v>Human-readable report exported.</v>
      </c>
    </row>
    <row r="671">
      <c r="A671" t="str">
        <v>2026-01-31T21:38:36.488Z</v>
      </c>
      <c r="B671" t="str">
        <v>BACKUP</v>
      </c>
      <c r="C671" t="str">
        <v>-</v>
      </c>
      <c r="D671" t="str">
        <v>Full inventory state backed up.</v>
      </c>
    </row>
    <row r="672">
      <c r="A672" t="str">
        <v>2026-01-31T21:38:01.729Z</v>
      </c>
      <c r="B672" t="str">
        <v>PRINT</v>
      </c>
      <c r="C672" t="str">
        <v>-</v>
      </c>
      <c r="D672" t="str">
        <v>Inventory count sheet printed.</v>
      </c>
    </row>
    <row r="673">
      <c r="A673" t="str">
        <v>2026-01-31T21:37:54.093Z</v>
      </c>
      <c r="B673" t="str">
        <v>PRINT</v>
      </c>
      <c r="C673" t="str">
        <v>-</v>
      </c>
      <c r="D673" t="str">
        <v>Inventory count sheet printed.</v>
      </c>
    </row>
    <row r="674">
      <c r="A674" t="str">
        <v>2026-01-31T21:36:09.887Z</v>
      </c>
      <c r="B674" t="str">
        <v>PRINT</v>
      </c>
      <c r="C674" t="str">
        <v>-</v>
      </c>
      <c r="D674" t="str">
        <v>Inventory count sheet printed.</v>
      </c>
    </row>
    <row r="675">
      <c r="A675" t="str">
        <v>2026-01-31T21:31:44.991Z</v>
      </c>
      <c r="B675" t="str">
        <v>PRINT</v>
      </c>
      <c r="C675" t="str">
        <v>-</v>
      </c>
      <c r="D675" t="str">
        <v>Inventory count sheet printed.</v>
      </c>
    </row>
    <row r="676">
      <c r="A676" t="str">
        <v>2026-01-31T21:31:02.427Z</v>
      </c>
      <c r="B676" t="str">
        <v>EDIT ITEM</v>
      </c>
      <c r="C676" t="str">
        <v>LBL-OFCL24G-VL-ND</v>
      </c>
      <c r="D676" t="str">
        <v>Qty: "16×48 | 17×48 | 21 l 11 l 18 l 47" -&gt; "16×48 | 17×48 | 21 | 11 | 18 | 47"</v>
      </c>
    </row>
    <row r="677">
      <c r="A677" t="str">
        <v>2026-01-31T21:28:07.730Z</v>
      </c>
      <c r="B677" t="str">
        <v>EDIT ITEM</v>
      </c>
      <c r="C677" t="str">
        <v>LBL-SOPCL24G_NS</v>
      </c>
      <c r="D677" t="str">
        <v>Qty: "7×48 | 14 | 10" -&gt; "6×48 | 48 | 24"</v>
      </c>
    </row>
    <row r="678">
      <c r="A678" t="str">
        <v>2026-01-31T21:27:50.156Z</v>
      </c>
      <c r="B678" t="str">
        <v>EDIT ITEM</v>
      </c>
      <c r="C678" t="str">
        <v>LBL-SKYFL20G_NS</v>
      </c>
      <c r="D678" t="str">
        <v>Qty: "2×48 | 35" -&gt; "2×48 | 36"</v>
      </c>
    </row>
    <row r="679">
      <c r="A679" t="str">
        <v>2026-01-31T21:27:41.531Z</v>
      </c>
      <c r="B679" t="str">
        <v>EDIT ITEM</v>
      </c>
      <c r="C679" t="str">
        <v>LBL-RCL24G_NS</v>
      </c>
      <c r="D679" t="str">
        <v>Qty: "48 | 8×48 | 48" -&gt; "10×48"</v>
      </c>
    </row>
    <row r="680">
      <c r="A680" t="str">
        <v>2026-01-31T21:27:20.515Z</v>
      </c>
      <c r="B680" t="str">
        <v>EDIT ITEM</v>
      </c>
      <c r="C680" t="str">
        <v>LBL-PSNKLS28G_NS</v>
      </c>
      <c r="D680" t="str">
        <v>Qty: "3×48" -&gt; "2×48 l 48"</v>
      </c>
    </row>
    <row r="681">
      <c r="A681" t="str">
        <v>2026-01-31T21:27:00.211Z</v>
      </c>
      <c r="B681" t="str">
        <v>EDIT ITEM</v>
      </c>
      <c r="C681" t="str">
        <v>LBL-PSNKFB60G_NS</v>
      </c>
      <c r="D681" t="str">
        <v>Qty: "27 | 20 | 21" -&gt; "2x27 | 14"</v>
      </c>
    </row>
    <row r="682">
      <c r="A682" t="str">
        <v>2026-01-31T21:26:25.307Z</v>
      </c>
      <c r="B682" t="str">
        <v>EDIT ITEM</v>
      </c>
      <c r="C682" t="str">
        <v>LBL-PFUA90G-8_NS</v>
      </c>
      <c r="D682" t="str">
        <v>Qty: "12×18 | 10 | 2×18 | 13 | 12 | 10" -&gt; "14×18 | 2×18 | 9"</v>
      </c>
    </row>
    <row r="683">
      <c r="A683" t="str">
        <v>2026-01-31T21:25:20.180Z</v>
      </c>
      <c r="B683" t="str">
        <v>EDIT ITEM</v>
      </c>
      <c r="C683" t="str">
        <v>LBL-PFBM50G-H_NS</v>
      </c>
      <c r="D683" t="str">
        <v>Qty: "12 | 10×27 | 9 | 6 | 4×27 | 7" -&gt; "12 | 14×27 | 9 | 6 | 7"</v>
      </c>
    </row>
    <row r="684">
      <c r="A684" t="str">
        <v>2026-01-31T21:24:57.035Z</v>
      </c>
      <c r="B684" t="str">
        <v>EDIT ITEM</v>
      </c>
      <c r="C684" t="str">
        <v>LBL-OPCL24G_NS</v>
      </c>
      <c r="D684" t="str">
        <v>Qty: "15×48 | 40" -&gt; "15×48 | 26 l 14"</v>
      </c>
    </row>
    <row r="685">
      <c r="A685" t="str">
        <v>2026-01-31T21:24:40.404Z</v>
      </c>
      <c r="B685" t="str">
        <v>EDIT ITEM</v>
      </c>
      <c r="C685" t="str">
        <v>LBL-OPCF60GH_NS</v>
      </c>
      <c r="D685" t="str">
        <v>Qty: "8×36 | 24 | 2×36 | 1" -&gt; "8×36 | 25 | 2×36"</v>
      </c>
    </row>
    <row r="686">
      <c r="A686" t="str">
        <v>2026-01-31T21:24:09.722Z</v>
      </c>
      <c r="B686" t="str">
        <v>EDIT ITEM</v>
      </c>
      <c r="C686" t="str">
        <v>LBL-OORUA75G</v>
      </c>
      <c r="D686" t="str">
        <v>Qty: "8×18 | 5×18 | 17 | 20" -&gt; "6×18 | 9×18"</v>
      </c>
    </row>
    <row r="687">
      <c r="A687" t="str">
        <v>2026-01-31T21:23:44.274Z</v>
      </c>
      <c r="B687" t="str">
        <v>EDIT ITEM</v>
      </c>
      <c r="C687" t="str">
        <v>LBL-OFKLF22G_NS</v>
      </c>
      <c r="D687" t="str">
        <v>Qty: "12×36 | 43 | 5×36 | 30 | 2×36 | 5 | 12×36 | 19 | 2×36 | 30 | 21" -&gt; "13×36 | 43 | 20 | 30 | 24 | 36 | 20×36 "</v>
      </c>
    </row>
    <row r="688">
      <c r="A688" t="str">
        <v>2026-01-31T21:22:09.274Z</v>
      </c>
      <c r="B688" t="str">
        <v>EDIT ITEM</v>
      </c>
      <c r="C688" t="str">
        <v>LBL-OFKFF55G</v>
      </c>
      <c r="D688" t="str">
        <v>Qty: "4×27 | 9 | 27 | 12 | 12" -&gt; "5×27 | 9 | 12 | 12"</v>
      </c>
    </row>
    <row r="689">
      <c r="A689" t="str">
        <v>2026-01-31T21:21:48.220Z</v>
      </c>
      <c r="B689" t="str">
        <v>EDIT ITEM</v>
      </c>
      <c r="C689" t="str">
        <v>LBL-OFKBA80G-800</v>
      </c>
      <c r="D689" t="str">
        <v>Qty: "12 | 12×18 | 13" -&gt; "7 | 12×18 | 18"</v>
      </c>
    </row>
    <row r="690">
      <c r="A690" t="str">
        <v>2026-01-31T21:21:25.484Z</v>
      </c>
      <c r="B690" t="str">
        <v>EDIT ITEM</v>
      </c>
      <c r="C690" t="str">
        <v>LBL-OFCUA90G8_NS</v>
      </c>
      <c r="D690" t="str">
        <v>Qty: "7×18 | 17" -&gt; "7×18 | 17"</v>
      </c>
    </row>
    <row r="691">
      <c r="A691" t="str">
        <v>2026-01-31T21:21:15.707Z</v>
      </c>
      <c r="B691" t="str">
        <v>EDIT ITEM</v>
      </c>
      <c r="C691" t="str">
        <v>LBL-OFCUA90G8_NS</v>
      </c>
      <c r="D691" t="str">
        <v>Qty: "7×18 | 7 | 10" -&gt; "7×18 | 17"</v>
      </c>
    </row>
    <row r="692">
      <c r="A692" t="str">
        <v>2026-01-31T21:21:00.947Z</v>
      </c>
      <c r="B692" t="str">
        <v>EDIT ITEM</v>
      </c>
      <c r="C692" t="str">
        <v>LBL-EHOPCL24G_NS</v>
      </c>
      <c r="D692" t="str">
        <v>Qty: "25×48 | 54 | 50 | 4" -&gt; "26×48 | 60"</v>
      </c>
    </row>
    <row r="693">
      <c r="A693" t="str">
        <v>2026-01-31T21:20:44.962Z</v>
      </c>
      <c r="B693" t="str">
        <v>EDIT ITEM</v>
      </c>
      <c r="C693" t="str">
        <v>LBL-CRPL24G-VL-ND</v>
      </c>
      <c r="D693" t="str">
        <v>Qty: "6×48 | 11 | 20×48 | 18×48 | 42×48 | 1 | 19×48" -&gt; "11×48 | 11 | 20×48 | 18×48 | 42×48 | 1 | 14×48"</v>
      </c>
    </row>
    <row r="694">
      <c r="A694" t="str">
        <v>2026-01-31T21:20:19.554Z</v>
      </c>
      <c r="B694" t="str">
        <v>EDIT ITEM</v>
      </c>
      <c r="C694" t="str">
        <v>LBL-4XCH-UA85G</v>
      </c>
      <c r="D694" t="str">
        <v>Qty: "3×18 | 11" -&gt; "2×18 | 11 l 18"</v>
      </c>
    </row>
    <row r="695">
      <c r="A695" t="str">
        <v>2026-01-31T21:19:38.086Z</v>
      </c>
      <c r="B695" t="str">
        <v>EDIT ITEM</v>
      </c>
      <c r="C695" t="str">
        <v>BAG-B23X30.32W/HO</v>
      </c>
      <c r="D695" t="str">
        <v>Qty: "5×24000 | 9900 | 7200 | 24000 | 23700 | 3×24000 | 15000" -&gt; "10×24000 | 9900 | 6900 | 15000"</v>
      </c>
    </row>
    <row r="696">
      <c r="A696" t="str">
        <v>2026-01-31T21:18:26.275Z</v>
      </c>
      <c r="B696" t="str">
        <v>EDIT ITEM</v>
      </c>
      <c r="C696" t="str">
        <v>BAG-B22.50X37PE</v>
      </c>
      <c r="D696" t="str">
        <v>Qty: "3×24000 | 9600 | 8700 | 2×24000 | 7500 | 4×24000 | 6000" -&gt; "9×24000 | 9600 | 8700 | 7500 | 6000"</v>
      </c>
    </row>
    <row r="697">
      <c r="A697" t="str">
        <v>2026-01-31T21:17:31.436Z</v>
      </c>
      <c r="B697" t="str">
        <v>EDIT ITEM</v>
      </c>
      <c r="C697" t="str">
        <v>BAG-B22.50X34PE</v>
      </c>
      <c r="D697" t="str">
        <v>Qty: "24000 | 8×24000 | 2×24000 | 13800" -&gt; "11×24000 | 13800"</v>
      </c>
    </row>
    <row r="698">
      <c r="A698" t="str">
        <v>2026-01-31T21:16:59.459Z</v>
      </c>
      <c r="B698" t="str">
        <v>EDIT ITEM</v>
      </c>
      <c r="C698" t="str">
        <v>BAG-B21.50X29PE</v>
      </c>
      <c r="D698" t="str">
        <v>Qty: "15×24000 | 10800 | 27×24000 | 14100 | 9600 | 25500 | 19200 | 4×24000 | 3000 | 24000 | 4800" -&gt; "30×24000 | 27000 | 14100 | 9600 | 10800 l 25500 | 19200 | 15×24000 | 24000 | 4800"</v>
      </c>
    </row>
    <row r="699">
      <c r="A699" t="str">
        <v>2026-01-31T21:14:55.251Z</v>
      </c>
      <c r="B699" t="str">
        <v>EDIT ITEM</v>
      </c>
      <c r="C699" t="str">
        <v>BAG-B20.87X31.89FH</v>
      </c>
      <c r="D699" t="str">
        <v>Qty: "15600 | 2×24000 | 10800 | 2×24000 | 10500 | 24000 | 3000 | 26400 l 2100" -&gt; "15600 | 2×24000 | 10800 | 3×24000 | 10500 | 3000 | 26400 | 2100"</v>
      </c>
    </row>
    <row r="700">
      <c r="A700" t="str">
        <v>2026-01-31T21:14:31.004Z</v>
      </c>
      <c r="B700" t="str">
        <v>EDIT ITEM</v>
      </c>
      <c r="C700" t="str">
        <v>BAG-B20.87X31.89FH</v>
      </c>
      <c r="D700" t="str">
        <v>Qty: "17700 | 2×24000 | 10800 | 2×24000 | 10500 | 24000 | 3000 | 26400" -&gt; "15600 | 2×24000 | 10800 | 2×24000 | 10500 | 24000 | 3000 | 26400 l 2100"</v>
      </c>
    </row>
    <row r="701">
      <c r="A701" t="str">
        <v>2026-01-31T21:13:52.306Z</v>
      </c>
      <c r="B701" t="str">
        <v>EDIT ITEM</v>
      </c>
      <c r="C701" t="str">
        <v>BAG-B18X30BPE</v>
      </c>
      <c r="D701" t="str">
        <v>Qty: "11×36000 | 16800 | 10×36000 | 29100 | 32400" -&gt; "12×36000 | 16800 | 10×36000 | 29100 | 32400 l 36000"</v>
      </c>
    </row>
    <row r="702">
      <c r="A702" t="str">
        <v>2026-01-31T21:13:13.347Z</v>
      </c>
      <c r="B702" t="str">
        <v>EDIT ITEM</v>
      </c>
      <c r="C702" t="str">
        <v>BAG-A25.5X32PE</v>
      </c>
      <c r="D702" t="str">
        <v>Qty: "5×24000 | 18300 | 12900 | 24000 | 19200 | 3×24000 | 12300" -&gt; "9×24000 | 24000 | 19200 |  12300 l 7200"</v>
      </c>
    </row>
    <row r="703">
      <c r="A703" t="str">
        <v>2026-01-31T21:11:52.760Z</v>
      </c>
      <c r="B703" t="str">
        <v>EDIT ITEM</v>
      </c>
      <c r="C703" t="str">
        <v>BAG-A22X30PEW/FLAP</v>
      </c>
      <c r="D703" t="str">
        <v>Qty: "24000 | 15000 | 22200 | 24000 | 5400 | 17700" -&gt; "24000 | 15000 | 22200 | 24000 | 5400 | 17700"</v>
      </c>
    </row>
    <row r="704">
      <c r="A704" t="str">
        <v>2026-01-31T21:11:52.691Z</v>
      </c>
      <c r="B704" t="str">
        <v>EDIT ITEM</v>
      </c>
      <c r="C704" t="str">
        <v>BAG-A22X30PEW/FLAP</v>
      </c>
      <c r="D704" t="str">
        <v>Qty: "24000 | 15000 | 22200 | 24000 | 5400 | 18000" -&gt; "24000 | 15000 | 22200 | 24000 | 5400 | 17700"</v>
      </c>
    </row>
    <row r="705">
      <c r="A705" t="str">
        <v>2026-01-31T21:11:33.588Z</v>
      </c>
      <c r="B705" t="str">
        <v>EDIT ITEM</v>
      </c>
      <c r="C705" t="str">
        <v>BAG-A22.50X39PE</v>
      </c>
      <c r="D705" t="str">
        <v>Qty: "9×24000 | 21300 | 16500" -&gt; "9×24000 | 21000 | 16800"</v>
      </c>
    </row>
    <row r="706">
      <c r="A706" t="str">
        <v>2026-01-31T19:43:19.799Z</v>
      </c>
      <c r="B706" t="str">
        <v>DELIVERY (BULK)</v>
      </c>
      <c r="C706" t="str">
        <v>BAG-B21.50X29PE</v>
      </c>
      <c r="D706" t="str">
        <v>+28,800 pcs</v>
      </c>
    </row>
    <row r="707">
      <c r="A707" t="str">
        <v>2026-01-31T19:43:19.735Z</v>
      </c>
      <c r="B707" t="str">
        <v>DELIVERY (BULK)</v>
      </c>
      <c r="C707" t="str">
        <v>BAG-B20.87X31.89FH</v>
      </c>
      <c r="D707" t="str">
        <v>+26,400 pcs</v>
      </c>
    </row>
    <row r="708">
      <c r="A708" t="str">
        <v>2026-01-31T19:31:34.643Z</v>
      </c>
      <c r="B708" t="str">
        <v>PRINT</v>
      </c>
      <c r="C708" t="str">
        <v>-</v>
      </c>
      <c r="D708" t="str">
        <v>Inventory count sheet printed.</v>
      </c>
    </row>
    <row r="709">
      <c r="A709" t="str">
        <v>2026-01-31T19:30:40.940Z</v>
      </c>
      <c r="B709" t="str">
        <v>BULK WITHDRAW</v>
      </c>
      <c r="C709" t="str">
        <v>3 items</v>
      </c>
      <c r="D709" t="str">
        <v>BAG-B13.50X19 (-66,000), BAG-B15.50X23PE (-36,000), BAG-B18X30BPE (-36,000)</v>
      </c>
    </row>
    <row r="710">
      <c r="A710" t="str">
        <v>2026-01-31T19:30:00.083Z</v>
      </c>
      <c r="B710" t="str">
        <v>EDIT ITEM</v>
      </c>
      <c r="C710" t="str">
        <v>BAG-B13.50X19</v>
      </c>
      <c r="D710" t="str">
        <v>Qty: "66000 | 48000 | 42300" -&gt; "66000 | 48000 | 42300"</v>
      </c>
    </row>
    <row r="711">
      <c r="A711" t="str">
        <v>2026-01-31T19:29:46.797Z</v>
      </c>
      <c r="B711" t="str">
        <v>BULK WITHDRAW</v>
      </c>
      <c r="C711" t="str">
        <v>3 items</v>
      </c>
      <c r="D711" t="str">
        <v>BAG-B21.50X29PE (-24,000), BAG-A26.5X37.5PE (-24,000), LBL-CRPL24G-VL-ND (-48)</v>
      </c>
    </row>
    <row r="712">
      <c r="A712" t="str">
        <v>2026-01-31T17:47:31.341Z</v>
      </c>
      <c r="B712" t="str">
        <v>DELIVERY (BULK)</v>
      </c>
      <c r="C712" t="str">
        <v>LBL-OFKLF22G_NS</v>
      </c>
      <c r="D712" t="str">
        <v>+21 pcs</v>
      </c>
    </row>
    <row r="713">
      <c r="A713" t="str">
        <v>2026-01-31T17:47:31.276Z</v>
      </c>
      <c r="B713" t="str">
        <v>DELIVERY (BULK)</v>
      </c>
      <c r="C713" t="str">
        <v>LBL-OFKLF22G_NS</v>
      </c>
      <c r="D713" t="str">
        <v>+102 pcs</v>
      </c>
    </row>
    <row r="714">
      <c r="A714" t="str">
        <v>2026-01-31T17:47:31.214Z</v>
      </c>
      <c r="B714" t="str">
        <v>DELIVERY (BULK)</v>
      </c>
      <c r="C714" t="str">
        <v>LBL-OPCF60GH_NS</v>
      </c>
      <c r="D714" t="str">
        <v>+73 pcs</v>
      </c>
    </row>
    <row r="715">
      <c r="A715" t="str">
        <v>2026-01-31T17:47:31.151Z</v>
      </c>
      <c r="B715" t="str">
        <v>DELIVERY (BULK)</v>
      </c>
      <c r="C715" t="str">
        <v>LBL-RCL24G_NS</v>
      </c>
      <c r="D715" t="str">
        <v>+48 pcs</v>
      </c>
    </row>
    <row r="716">
      <c r="A716" t="str">
        <v>2026-01-31T17:44:45.379Z</v>
      </c>
      <c r="B716" t="str">
        <v>PRINT</v>
      </c>
      <c r="C716" t="str">
        <v>-</v>
      </c>
      <c r="D716" t="str">
        <v>Inventory count sheet printed.</v>
      </c>
    </row>
    <row r="717">
      <c r="A717" t="str">
        <v>2026-01-31T15:57:29.538Z</v>
      </c>
      <c r="B717" t="str">
        <v>PRINT</v>
      </c>
      <c r="C717" t="str">
        <v>-</v>
      </c>
      <c r="D717" t="str">
        <v>Inventory count sheet printed.</v>
      </c>
    </row>
    <row r="718">
      <c r="A718" t="str">
        <v>2026-01-31T13:39:57.807Z</v>
      </c>
      <c r="B718" t="str">
        <v>PRINT</v>
      </c>
      <c r="C718" t="str">
        <v>-</v>
      </c>
      <c r="D718" t="str">
        <v>Inventory count sheet printed.</v>
      </c>
    </row>
    <row r="719">
      <c r="A719" t="str">
        <v>2026-01-31T13:35:01.206Z</v>
      </c>
      <c r="B719" t="str">
        <v>PRINT</v>
      </c>
      <c r="C719" t="str">
        <v>-</v>
      </c>
      <c r="D719" t="str">
        <v>Inventory count sheet printed.</v>
      </c>
    </row>
    <row r="720">
      <c r="A720" t="str">
        <v>2026-01-31T13:34:18.945Z</v>
      </c>
      <c r="B720" t="str">
        <v>PRINT</v>
      </c>
      <c r="C720" t="str">
        <v>-</v>
      </c>
      <c r="D720" t="str">
        <v>Inventory count sheet printed.</v>
      </c>
    </row>
    <row r="721">
      <c r="A721" t="str">
        <v>2026-01-31T13:33:53.989Z</v>
      </c>
      <c r="B721" t="str">
        <v>PRINT</v>
      </c>
      <c r="C721" t="str">
        <v>-</v>
      </c>
      <c r="D721" t="str">
        <v>Inventory count sheet printed.</v>
      </c>
    </row>
    <row r="722">
      <c r="A722" t="str">
        <v>2026-01-31T13:18:23.576Z</v>
      </c>
      <c r="B722" t="str">
        <v>PRINT</v>
      </c>
      <c r="C722" t="str">
        <v>-</v>
      </c>
      <c r="D722" t="str">
        <v>Inventory count sheet printed.</v>
      </c>
    </row>
    <row r="723">
      <c r="A723" t="str">
        <v>2026-01-31T13:18:11.413Z</v>
      </c>
      <c r="B723" t="str">
        <v>PRINT</v>
      </c>
      <c r="C723" t="str">
        <v>-</v>
      </c>
      <c r="D723" t="str">
        <v>Inventory count sheet printed.</v>
      </c>
    </row>
    <row r="724">
      <c r="A724" t="str">
        <v>2026-01-31T13:14:36.472Z</v>
      </c>
      <c r="B724" t="str">
        <v>PRINT</v>
      </c>
      <c r="C724" t="str">
        <v>-</v>
      </c>
      <c r="D724" t="str">
        <v>Inventory count sheet printed.</v>
      </c>
    </row>
    <row r="725">
      <c r="A725" t="str">
        <v>2026-01-31T10:33:34.748Z</v>
      </c>
      <c r="B725" t="str">
        <v>PRINT</v>
      </c>
      <c r="C725" t="str">
        <v>-</v>
      </c>
      <c r="D725" t="str">
        <v>Inventory count sheet printed.</v>
      </c>
    </row>
    <row r="726">
      <c r="A726" t="str">
        <v>2026-01-31T10:32:06.244Z</v>
      </c>
      <c r="B726" t="str">
        <v>BULK WITHDRAW</v>
      </c>
      <c r="C726" t="str">
        <v>22 items</v>
      </c>
      <c r="D726" t="str">
        <v>BAG-B23X30.32W/HO (-24,000), LBL-COCL22G_NS (-48), LBL-CRPUA85G8_NS (-5), LBL-EHOPCF60G_NS (-10), LBL-EHOPCL24G_NS (-96), LBL-SKYFL20G_NS (-48), LBL-KYFF45GH_NS (-18), LBL-OFCUA90G8_NS (-18), LBL-OFKBA80G-800 (-36), LBL-OFKLF22G_NS (-144), LBL-OORL16G_NS (-144), LBL-OPCL24G_NS (-118), LBL-OPSSUA80G8_NS (-42), LBL-PFBM50G-H_NS (-9), LBL-PFUA90G-8_NS (-5), LBL-PFCLB21G_NS (-48), LBL-PFKLB21G_NS (-48), LBL-PSNKFB60G_NS (-36), LBL-RCL24G_NS (-48), LBL-RCSL24G_NS (-48), LBL-SOPCL24G_NS (-164), LBL-CRPL24G-VL-ND (-240)</v>
      </c>
    </row>
    <row r="727">
      <c r="A727" t="str">
        <v>2026-01-31T10:26:39.224Z</v>
      </c>
      <c r="B727" t="str">
        <v>BULK WITHDRAW</v>
      </c>
      <c r="C727" t="str">
        <v>8 items</v>
      </c>
      <c r="D727" t="str">
        <v>BAG-B21.50X29PE (-24,000), BAG-A22X30PEW/FLAP (-24,000), BAG-A26X32.50PE (-24,000), LBL-OFKBA80G-800 (-18), LBL-OORL16G_NS (-48), LBL-PFBM50G-H_NS (-9), LBL-SOPCL24G_NS (-68), LBL-CRPL24G-VL-ND (-48)</v>
      </c>
    </row>
    <row r="728">
      <c r="A728" t="str">
        <v>2026-01-31T10:24:50.631Z</v>
      </c>
      <c r="B728" t="str">
        <v>BULK WITHDRAW</v>
      </c>
      <c r="C728" t="str">
        <v>15 items</v>
      </c>
      <c r="D728" t="str">
        <v>BAG-A19.5X35PE (-33,000), BAG-A22.50X39PE (-24,000), BAG-A26X32.50PE (-24,000), BAG-A25.5X32PE (-27,600), BAG-B18X30BPE (-115,200), BAG-B22.50X34PE (-24,000), LBL-OFKBA80G-800 (-27), LBL-OORL16G_NS (-48), LBL-OORUA75G (-2), LBL-OORXS5G-E_NS (-40), LBL-PFBM50EXP_NS (-5), LBL-PFUA90G-8_NS (-21), LBL-SOPCL24G_NS (-72), LBL-SOPCUA90G8_NS (-20), LBL-CRPL24G-VL-ND (-48)</v>
      </c>
    </row>
    <row r="729">
      <c r="A729" t="str">
        <v>2026-01-31T10:21:04.323Z</v>
      </c>
      <c r="B729" t="str">
        <v>DELIVERY (BULK)</v>
      </c>
      <c r="C729" t="str">
        <v>LBL-RCL24G_NS</v>
      </c>
      <c r="D729" t="str">
        <v>+384 pcs</v>
      </c>
    </row>
    <row r="730">
      <c r="A730" t="str">
        <v>2026-01-31T10:21:04.260Z</v>
      </c>
      <c r="B730" t="str">
        <v>DELIVERY (BULK)</v>
      </c>
      <c r="C730" t="str">
        <v>LBL-RCL24G_NS</v>
      </c>
      <c r="D730" t="str">
        <v>+96 pcs</v>
      </c>
    </row>
    <row r="731">
      <c r="A731" t="str">
        <v>2026-01-31T10:21:04.205Z</v>
      </c>
      <c r="B731" t="str">
        <v>DELIVERY (BULK)</v>
      </c>
      <c r="C731" t="str">
        <v>LBL-PFBM50G-H_NS</v>
      </c>
      <c r="D731" t="str">
        <v>+115 pcs</v>
      </c>
    </row>
    <row r="732">
      <c r="A732" t="str">
        <v>2026-01-31T10:21:04.150Z</v>
      </c>
      <c r="B732" t="str">
        <v>DELIVERY (BULK)</v>
      </c>
      <c r="C732" t="str">
        <v>LBL-OPSSUA80G8_NS</v>
      </c>
      <c r="D732" t="str">
        <v>+68 pcs</v>
      </c>
    </row>
    <row r="733">
      <c r="A733" t="str">
        <v>2026-01-31T10:21:04.095Z</v>
      </c>
      <c r="B733" t="str">
        <v>DELIVERY (BULK)</v>
      </c>
      <c r="C733" t="str">
        <v>LBL-OFKLF22G_NS</v>
      </c>
      <c r="D733" t="str">
        <v>+451 pcs</v>
      </c>
    </row>
    <row r="734">
      <c r="A734" t="str">
        <v>2026-01-31T10:21:04.043Z</v>
      </c>
      <c r="B734" t="str">
        <v>DELIVERY (BULK)</v>
      </c>
      <c r="C734" t="str">
        <v>LBL-OFKLF22G_NS</v>
      </c>
      <c r="D734" t="str">
        <v>+77 pcs</v>
      </c>
    </row>
    <row r="735">
      <c r="A735" t="str">
        <v>2026-01-31T10:17:11.951Z</v>
      </c>
      <c r="B735" t="str">
        <v>DELIVERY (BULK)</v>
      </c>
      <c r="C735" t="str">
        <v>BAG-B18X27MLRLPE</v>
      </c>
      <c r="D735" t="str">
        <v>+27,900 pcs</v>
      </c>
    </row>
    <row r="736">
      <c r="A736" t="str">
        <v>2026-01-31T10:17:11.894Z</v>
      </c>
      <c r="B736" t="str">
        <v>DELIVERY (BULK)</v>
      </c>
      <c r="C736" t="str">
        <v>BAG-B18X30BPE</v>
      </c>
      <c r="D736" t="str">
        <v>+32,400 pcs</v>
      </c>
    </row>
    <row r="737">
      <c r="A737" t="str">
        <v>2026-01-31T10:17:11.806Z</v>
      </c>
      <c r="B737" t="str">
        <v>DELIVERY (BULK)</v>
      </c>
      <c r="C737" t="str">
        <v>BAG-B17.5X34PE</v>
      </c>
      <c r="D737" t="str">
        <v>+54,000 pcs</v>
      </c>
    </row>
    <row r="738">
      <c r="A738" t="str">
        <v>2026-01-31T10:17:11.745Z</v>
      </c>
      <c r="B738" t="str">
        <v>DELIVERY (BULK)</v>
      </c>
      <c r="C738" t="str">
        <v>BAG-B22.50X34PE</v>
      </c>
      <c r="D738" t="str">
        <v>+61,800 pcs</v>
      </c>
    </row>
    <row r="739">
      <c r="A739" t="str">
        <v>2026-01-31T10:17:11.688Z</v>
      </c>
      <c r="B739" t="str">
        <v>DELIVERY (BULK)</v>
      </c>
      <c r="C739" t="str">
        <v>BAG-B21.50X29PE</v>
      </c>
      <c r="D739" t="str">
        <v>+99,000 pcs</v>
      </c>
    </row>
    <row r="740">
      <c r="A740" t="str">
        <v>2026-01-31T10:17:11.637Z</v>
      </c>
      <c r="B740" t="str">
        <v>DELIVERY (BULK)</v>
      </c>
      <c r="C740" t="str">
        <v>BAG-B22.50X37PE</v>
      </c>
      <c r="D740" t="str">
        <v>+102,000 pcs</v>
      </c>
    </row>
    <row r="741">
      <c r="A741" t="str">
        <v>2026-01-31T10:17:11.570Z</v>
      </c>
      <c r="B741" t="str">
        <v>DELIVERY (BULK)</v>
      </c>
      <c r="C741" t="str">
        <v>BAG-A25.5X32PE</v>
      </c>
      <c r="D741" t="str">
        <v>+84,300 pcs</v>
      </c>
    </row>
    <row r="742">
      <c r="A742" t="str">
        <v>2026-01-31T10:12:49.206Z</v>
      </c>
      <c r="B742" t="str">
        <v>DELIVERY (BULK)</v>
      </c>
      <c r="C742" t="str">
        <v>BAG-B23X30.32W/HO</v>
      </c>
      <c r="D742" t="str">
        <v>+87,000 pcs</v>
      </c>
    </row>
    <row r="743">
      <c r="A743" t="str">
        <v>2026-01-31T10:12:49.153Z</v>
      </c>
      <c r="B743" t="str">
        <v>DELIVERY (BULK)</v>
      </c>
      <c r="C743" t="str">
        <v>BAG-A22X30PEW/FLAP</v>
      </c>
      <c r="D743" t="str">
        <v>+18,000 pcs</v>
      </c>
    </row>
    <row r="744">
      <c r="A744" t="str">
        <v>2026-01-31T10:12:49.099Z</v>
      </c>
      <c r="B744" t="str">
        <v>DELIVERY (BULK)</v>
      </c>
      <c r="C744" t="str">
        <v>BAG-B20.87X31.89FH</v>
      </c>
      <c r="D744" t="str">
        <v>+27,000 pcs</v>
      </c>
    </row>
    <row r="745">
      <c r="A745" t="str">
        <v>2026-01-29T20:21:12.905Z</v>
      </c>
      <c r="B745" t="str">
        <v>PRINT</v>
      </c>
      <c r="C745" t="str">
        <v>-</v>
      </c>
      <c r="D745" t="str">
        <v>Inventory count sheet printed.</v>
      </c>
    </row>
    <row r="746">
      <c r="A746" t="str">
        <v>2026-01-29T20:20:58.623Z</v>
      </c>
      <c r="B746" t="str">
        <v>EXPORT REPORT</v>
      </c>
      <c r="C746" t="str">
        <v>-</v>
      </c>
      <c r="D746" t="str">
        <v>Human-readable report exported.</v>
      </c>
    </row>
    <row r="747">
      <c r="A747" t="str">
        <v>2026-01-29T20:20:51.567Z</v>
      </c>
      <c r="B747" t="str">
        <v>BACKUP</v>
      </c>
      <c r="C747" t="str">
        <v>-</v>
      </c>
      <c r="D747" t="str">
        <v>Full inventory state backed up.</v>
      </c>
    </row>
    <row r="748">
      <c r="A748" t="str">
        <v>2026-01-29T20:20:26.392Z</v>
      </c>
      <c r="B748" t="str">
        <v>EDIT ITEM</v>
      </c>
      <c r="C748" t="str">
        <v>LBL-SOPCL24G_NS</v>
      </c>
      <c r="D748" t="str">
        <v>Qty: "4×48 | 30 | 9×48 | 10" -&gt; "5×48 | 30 | 8×48 | 10"</v>
      </c>
    </row>
    <row r="749">
      <c r="A749" t="str">
        <v>2026-01-29T20:20:01.241Z</v>
      </c>
      <c r="B749" t="str">
        <v>EDIT ITEM</v>
      </c>
      <c r="C749" t="str">
        <v>LBL-OPCF60GH_NS</v>
      </c>
      <c r="D749" t="str">
        <v>Qty: "4×36 | 4×36 | 24" -&gt; "8×36 | 24"</v>
      </c>
    </row>
    <row r="750">
      <c r="A750" t="str">
        <v>2026-01-29T20:19:49.449Z</v>
      </c>
      <c r="B750" t="str">
        <v>EDIT ITEM</v>
      </c>
      <c r="C750" t="str">
        <v>LBL-OORUA75G</v>
      </c>
      <c r="D750" t="str">
        <v>Qty: "9×18 | 5×18 | 7 | 14" -&gt; "8×18 | 6×18 | 1 | 20"</v>
      </c>
    </row>
    <row r="751">
      <c r="A751" t="str">
        <v>2026-01-29T20:19:22.049Z</v>
      </c>
      <c r="B751" t="str">
        <v>EDIT ITEM</v>
      </c>
      <c r="C751" t="str">
        <v>LBL-OFKLF22G_NS</v>
      </c>
      <c r="D751" t="str">
        <v>Qty: "12×36 | 42 | 1 | 16 | 9×36 | 14" -&gt; "12×36 | 43 | 9×36 | 30"</v>
      </c>
    </row>
    <row r="752">
      <c r="A752" t="str">
        <v>2026-01-29T20:18:50.266Z</v>
      </c>
      <c r="B752" t="str">
        <v>EDIT ITEM</v>
      </c>
      <c r="C752" t="str">
        <v>LBL-OFCL24G-VL-ND</v>
      </c>
      <c r="D752" t="str">
        <v>Qty: "17×48 | 18×48 | 1" -&gt; "16×48 | 17×48 | 21 l 11 l 18 l 47"</v>
      </c>
    </row>
    <row r="753">
      <c r="A753" t="str">
        <v>2026-01-29T20:17:33.674Z</v>
      </c>
      <c r="B753" t="str">
        <v>EDIT ITEM</v>
      </c>
      <c r="C753" t="str">
        <v>LBL-CRPL24G-VL-ND</v>
      </c>
      <c r="D753" t="str">
        <v>Qty: "12×48 | 36 | 14 | 20×48 | 9 | 18×48 | 20×48 | 21×48 | 1 | 21×48" -&gt; "14×48 | 11 | 20×48 | 18×48 | 42×48 | 1 | 19×48"</v>
      </c>
    </row>
    <row r="754">
      <c r="A754" t="str">
        <v>2026-01-29T20:15:41.706Z</v>
      </c>
      <c r="B754" t="str">
        <v>EDIT ITEM</v>
      </c>
      <c r="C754" t="str">
        <v>BAG-B21.50X29PE</v>
      </c>
      <c r="D754" t="str">
        <v>Qty: "6×24000 | 10800 | 23×24000 | 14100 | 8×24000 | 9600 | 3×24000 | 25500 | 4×24000 | 19200" -&gt; "17×24000 | 10800 | 27×24000 | 14100 | 9600 | 25500 l 19200"</v>
      </c>
    </row>
    <row r="755">
      <c r="A755" t="str">
        <v>2026-01-29T20:14:16.618Z</v>
      </c>
      <c r="B755" t="str">
        <v>EDIT ITEM</v>
      </c>
      <c r="C755" t="str">
        <v>BAG-B18X30BPE</v>
      </c>
      <c r="D755" t="str">
        <v>Qty: "17×36000 | 5700 | 16800 | 2×36000 | 4×36000 | 37500 | 3×36000 | 29100" -&gt; "15×36000 | 7200 | 16800 | 10×36000 | 29100"</v>
      </c>
    </row>
    <row r="756">
      <c r="A756" t="str">
        <v>2026-01-29T20:13:27.529Z</v>
      </c>
      <c r="B756" t="str">
        <v>EDIT ITEM</v>
      </c>
      <c r="C756" t="str">
        <v>BAG-B15.50X42PE</v>
      </c>
      <c r="D756" t="str">
        <v>Qty: "36000 | 32100 | 2×36000 | 10800 | 3×27000 | 4×27000" -&gt; "36000 | 15900 l 16200 | 2×36000 | 10800 | 7×27000"</v>
      </c>
    </row>
    <row r="757">
      <c r="A757" t="str">
        <v>2026-01-29T20:12:11.280Z</v>
      </c>
      <c r="B757" t="str">
        <v>EDIT ITEM</v>
      </c>
      <c r="C757" t="str">
        <v>BAG-A26X45HD</v>
      </c>
      <c r="D757" t="str">
        <v>Qty: "2×19200 | 2×19200 | 2×24000 | 2x19200" -&gt; "4×19200 | 2×24000 | 2×19200"</v>
      </c>
    </row>
    <row r="758">
      <c r="A758" t="str">
        <v>2026-01-29T20:11:56.385Z</v>
      </c>
      <c r="B758" t="str">
        <v>EDIT ITEM</v>
      </c>
      <c r="C758" t="str">
        <v>BAG-A26X32.50PE</v>
      </c>
      <c r="D758" t="str">
        <v>Qty: "12×24000 | 9200 | 15×24000 | 24000 | 24000 | 16400" -&gt; "14×24000 | 9200 | 15×24000 | 16400"</v>
      </c>
    </row>
    <row r="759">
      <c r="A759" t="str">
        <v>2026-01-29T20:11:07.529Z</v>
      </c>
      <c r="B759" t="str">
        <v>EDIT ITEM</v>
      </c>
      <c r="C759" t="str">
        <v>BAG-A26.5X37.5PE</v>
      </c>
      <c r="D759" t="str">
        <v>Qty: "13×24000 | 3900 | 24000 | 21000 | 6×240000" -&gt; "20×24000 | 3900 | 21000 "</v>
      </c>
    </row>
    <row r="760">
      <c r="A760" t="str">
        <v>2026-01-29T20:10:41.617Z</v>
      </c>
      <c r="B760" t="str">
        <v>EDIT ITEM</v>
      </c>
      <c r="C760" t="str">
        <v>BAG-A25.5X32PE</v>
      </c>
      <c r="D760" t="str">
        <v>Qty: "7200 | 24000 | 14700 | 5×24000 | 12900 | 24000 | 19200" -&gt; "7200 | 14700 | 6×24000 | 12900 | 24000 | 19200"</v>
      </c>
    </row>
    <row r="761">
      <c r="A761" t="str">
        <v>2026-01-29T20:10:07.960Z</v>
      </c>
      <c r="B761" t="str">
        <v>EDIT ITEM</v>
      </c>
      <c r="C761" t="str">
        <v>BAG-A20.5X45PE</v>
      </c>
      <c r="D761" t="str">
        <v>Qty: "4×24000 | 24000 | 3600 | 2×24000 | 10800" -&gt; "6×24000 | 24000 | 3600 | 10800"</v>
      </c>
    </row>
    <row r="762">
      <c r="A762" t="str">
        <v>2026-01-29T20:09:51.313Z</v>
      </c>
      <c r="B762" t="str">
        <v>EDIT ITEM</v>
      </c>
      <c r="C762" t="str">
        <v>BAG-A19.5X35PE</v>
      </c>
      <c r="D762" t="str">
        <v>Qty: "12×24000 | 13350 | 5×24000 | 9000 | 18600 | 24000 | 26400" -&gt; "13×24000 | 13350 | 5×24000 | 9000 | 18600 | 26400"</v>
      </c>
    </row>
    <row r="763">
      <c r="A763" t="str">
        <v>2026-01-29T19:08:16.550Z</v>
      </c>
      <c r="B763" t="str">
        <v>BULK WITHDRAW</v>
      </c>
      <c r="C763" t="str">
        <v>10 items</v>
      </c>
      <c r="D763" t="str">
        <v>BAG-B21.50X29PE (-24,000), BAG-B23X30.32W/HO (-24,000), BAG-B18X30BPE (-36,000), LBL-OFKLF22G_NS (-24), LBL-OORL16G_NS (-48), LBL-OPSSUA80G8_NS (-12), LBL-PFBM50G-H_NS (-18), LBL-PFUA90G-8_NS (-18), LBL-SOPCL24G_NS (-48), LBL-CRPL24G-VL-ND (-60)</v>
      </c>
    </row>
    <row r="764">
      <c r="A764" t="str">
        <v>2026-01-29T19:06:09.288Z</v>
      </c>
      <c r="B764" t="str">
        <v>EDIT ITEM</v>
      </c>
      <c r="C764" t="str">
        <v>LBL-CRPL24G-VL-ND</v>
      </c>
      <c r="D764" t="str">
        <v>Qty: "14×48 | 14 | 20×48 | 9 | 18×48 | 20×48 | 21×48 l 1" -&gt; "14×48 | 14 | 20×48 | 9 | 18×48 | 20×48 | 21×48 | 1 l 21x48"</v>
      </c>
    </row>
    <row r="765">
      <c r="A765" t="str">
        <v>2026-01-29T19:05:16.489Z</v>
      </c>
      <c r="B765" t="str">
        <v>DELIVERY (BULK)</v>
      </c>
      <c r="C765" t="str">
        <v>BAG-B23X30.32W/HO</v>
      </c>
      <c r="D765" t="str">
        <v>+47,700 pcs</v>
      </c>
    </row>
    <row r="766">
      <c r="A766" t="str">
        <v>2026-01-29T19:05:16.398Z</v>
      </c>
      <c r="B766" t="str">
        <v>DELIVERY (BULK)</v>
      </c>
      <c r="C766" t="str">
        <v>BAG-A22X30PEW/FLAP</v>
      </c>
      <c r="D766" t="str">
        <v>+29,400 pcs</v>
      </c>
    </row>
    <row r="767">
      <c r="A767" t="str">
        <v>2026-01-29T19:05:16.326Z</v>
      </c>
      <c r="B767" t="str">
        <v>DELIVERY (BULK)</v>
      </c>
      <c r="C767" t="str">
        <v>BAG-B20.87X31.89FH</v>
      </c>
      <c r="D767" t="str">
        <v>+58,500 pcs</v>
      </c>
    </row>
    <row r="768">
      <c r="A768" t="str">
        <v>2026-01-29T19:05:16.272Z</v>
      </c>
      <c r="B768" t="str">
        <v>DELIVERY (BULK)</v>
      </c>
      <c r="C768" t="str">
        <v>BAG-B21.50X29PE</v>
      </c>
      <c r="D768" t="str">
        <v>+115,200 pcs</v>
      </c>
    </row>
    <row r="769">
      <c r="A769" t="str">
        <v>2026-01-29T19:05:16.209Z</v>
      </c>
      <c r="B769" t="str">
        <v>DELIVERY (BULK)</v>
      </c>
      <c r="C769" t="str">
        <v>BAG-A20.5X45PE</v>
      </c>
      <c r="D769" t="str">
        <v>+58,800 pcs</v>
      </c>
    </row>
    <row r="770">
      <c r="A770" t="str">
        <v>2026-01-29T19:05:16.160Z</v>
      </c>
      <c r="B770" t="str">
        <v>DELIVERY (BULK)</v>
      </c>
      <c r="C770" t="str">
        <v>BAG-A19.5X35PE</v>
      </c>
      <c r="D770" t="str">
        <v>+50,400 pcs</v>
      </c>
    </row>
    <row r="771">
      <c r="A771" t="str">
        <v>2026-01-29T19:05:16.106Z</v>
      </c>
      <c r="B771" t="str">
        <v>DELIVERY (BULK)</v>
      </c>
      <c r="C771" t="str">
        <v>BAG-A25.5X32PE</v>
      </c>
      <c r="D771" t="str">
        <v>+43,200 pcs</v>
      </c>
    </row>
    <row r="772">
      <c r="A772" t="str">
        <v>2026-01-29T19:05:16.050Z</v>
      </c>
      <c r="B772" t="str">
        <v>DELIVERY (BULK)</v>
      </c>
      <c r="C772" t="str">
        <v>BAG-A26.5X37.5PE</v>
      </c>
      <c r="D772" t="str">
        <v>+1,440,000 pcs</v>
      </c>
    </row>
    <row r="773">
      <c r="A773" t="str">
        <v>2026-01-29T19:05:15.989Z</v>
      </c>
      <c r="B773" t="str">
        <v>DELIVERY (BULK)</v>
      </c>
      <c r="C773" t="str">
        <v>BAG-B15.50X42PE</v>
      </c>
      <c r="D773" t="str">
        <v>+108,000 pcs</v>
      </c>
    </row>
    <row r="774">
      <c r="A774" t="str">
        <v>2026-01-29T09:55:14.710Z</v>
      </c>
      <c r="B774" t="str">
        <v>EDIT ITEM</v>
      </c>
      <c r="C774" t="str">
        <v>BAG-A26X45HD</v>
      </c>
      <c r="D774" t="str">
        <v>Qty: "2×19200 | 3600 | 2×19200 | 2×24000 | 19200 | 15600" -&gt; "2×19200 | 2×19200 | 2×24000 | 2x19200"</v>
      </c>
    </row>
    <row r="775">
      <c r="A775" t="str">
        <v>2026-01-29T09:49:40.861Z</v>
      </c>
      <c r="B775" t="str">
        <v>EDIT ITEM</v>
      </c>
      <c r="C775" t="str">
        <v>BAG-B6X7FPP</v>
      </c>
      <c r="D775" t="str">
        <v>Qty: "520000" -&gt; ""</v>
      </c>
    </row>
    <row r="776">
      <c r="A776" t="str">
        <v>2026-01-29T09:48:36.383Z</v>
      </c>
      <c r="B776" t="str">
        <v>BULK WITHDRAW</v>
      </c>
      <c r="C776" t="str">
        <v>1 items</v>
      </c>
      <c r="D776" t="str">
        <v>LBL-OFCL24G-VL-ND (-78)</v>
      </c>
    </row>
    <row r="777">
      <c r="A777" t="str">
        <v>2026-01-29T09:48:25.406Z</v>
      </c>
      <c r="B777" t="str">
        <v>EDIT ITEM</v>
      </c>
      <c r="C777" t="str">
        <v>LBL-OFCL24G-VL-ND</v>
      </c>
      <c r="D777" t="str">
        <v>Qty: "17×48 | 18×48 | 11 | 21 l 47" -&gt; "17×48 | 18×48 | 11 | 21 | 47"</v>
      </c>
    </row>
    <row r="778">
      <c r="A778" t="str">
        <v>2026-01-29T09:47:57.461Z</v>
      </c>
      <c r="B778" t="str">
        <v>BULK WITHDRAW</v>
      </c>
      <c r="C778" t="str">
        <v>11 items</v>
      </c>
      <c r="D778" t="str">
        <v>BAG-A23X42PE-G (-21,600), BAG-A26X45HD (-30,600), BAG-B15.50X42PE (-36,000), BAG-B22.50X37PE (-24,000), LBL-OFKLF22G_NS (-36), LBL-OORL16G_NS (-48), LBL-OORUA75G (-12), LBL-OORXS5G-E_NS (-20), LBL-RCBM50G_NS (-12), LBL-RCSUA85G8_NS (-16), LBL-RCUA90G-8_NS (-18)</v>
      </c>
    </row>
    <row r="779">
      <c r="A779" t="str">
        <v>2026-01-29T09:45:27.271Z</v>
      </c>
      <c r="B779" t="str">
        <v>DELIVERY (BULK)</v>
      </c>
      <c r="C779" t="str">
        <v>BAG-B22.50X37PE</v>
      </c>
      <c r="D779" t="str">
        <v>+55,500 pcs</v>
      </c>
    </row>
    <row r="780">
      <c r="A780" t="str">
        <v>2026-01-29T09:45:27.216Z</v>
      </c>
      <c r="B780" t="str">
        <v>DELIVERY (BULK)</v>
      </c>
      <c r="C780" t="str">
        <v>BAG-A26X32.50PE</v>
      </c>
      <c r="D780" t="str">
        <v>+40,400 pcs</v>
      </c>
    </row>
    <row r="781">
      <c r="A781" t="str">
        <v>2026-01-29T09:45:27.166Z</v>
      </c>
      <c r="B781" t="str">
        <v>DELIVERY (BULK)</v>
      </c>
      <c r="C781" t="str">
        <v>BAG-B21.50X29PE</v>
      </c>
      <c r="D781" t="str">
        <v>+97,500 pcs</v>
      </c>
    </row>
    <row r="782">
      <c r="A782" t="str">
        <v>2026-01-29T09:45:27.114Z</v>
      </c>
      <c r="B782" t="str">
        <v>DELIVERY (BULK)</v>
      </c>
      <c r="C782" t="str">
        <v>BAG-B18X30BPE</v>
      </c>
      <c r="D782" t="str">
        <v>+137,100 pcs</v>
      </c>
    </row>
    <row r="783">
      <c r="A783" t="str">
        <v>2026-01-29T09:45:27.066Z</v>
      </c>
      <c r="B783" t="str">
        <v>DELIVERY (BULK)</v>
      </c>
      <c r="C783" t="str">
        <v>BAG-A25.5X32PE</v>
      </c>
      <c r="D783" t="str">
        <v>+132,900 pcs</v>
      </c>
    </row>
    <row r="784">
      <c r="A784" t="str">
        <v>2026-01-29T09:42:30.265Z</v>
      </c>
      <c r="B784" t="str">
        <v>DELIVERY (BULK)</v>
      </c>
      <c r="C784" t="str">
        <v>LBL-OPCF60GH_NS</v>
      </c>
      <c r="D784" t="str">
        <v>+168 pcs</v>
      </c>
    </row>
    <row r="785">
      <c r="A785" t="str">
        <v>2026-01-29T09:42:30.205Z</v>
      </c>
      <c r="B785" t="str">
        <v>DELIVERY (BULK)</v>
      </c>
      <c r="C785" t="str">
        <v>LBL-OPSSUA80G8_NS</v>
      </c>
      <c r="D785" t="str">
        <v>+56 pcs</v>
      </c>
    </row>
    <row r="786">
      <c r="A786" t="str">
        <v>2026-01-29T09:42:30.154Z</v>
      </c>
      <c r="B786" t="str">
        <v>DELIVERY (BULK)</v>
      </c>
      <c r="C786" t="str">
        <v>LBL-OFKLF22G_NS</v>
      </c>
      <c r="D786" t="str">
        <v>+338 pcs</v>
      </c>
    </row>
    <row r="787">
      <c r="A787" t="str">
        <v>2026-01-29T09:42:30.099Z</v>
      </c>
      <c r="B787" t="str">
        <v>DELIVERY (BULK)</v>
      </c>
      <c r="C787" t="str">
        <v>LBL-OFKLF22G_NS</v>
      </c>
      <c r="D787" t="str">
        <v>+16 pcs</v>
      </c>
    </row>
    <row r="788">
      <c r="A788" t="str">
        <v>2026-01-28T18:08:52.181Z</v>
      </c>
      <c r="B788" t="str">
        <v>EXPORT REPORT</v>
      </c>
      <c r="C788" t="str">
        <v>-</v>
      </c>
      <c r="D788" t="str">
        <v>Human-readable report exported.</v>
      </c>
    </row>
    <row r="789">
      <c r="A789" t="str">
        <v>2026-01-28T18:08:44.104Z</v>
      </c>
      <c r="B789" t="str">
        <v>BACKUP</v>
      </c>
      <c r="C789" t="str">
        <v>-</v>
      </c>
      <c r="D789" t="str">
        <v>Full inventory state backed up.</v>
      </c>
    </row>
    <row r="790">
      <c r="A790" t="str">
        <v>2026-01-28T18:08:23.375Z</v>
      </c>
      <c r="B790" t="str">
        <v>PRINT</v>
      </c>
      <c r="C790" t="str">
        <v>-</v>
      </c>
      <c r="D790" t="str">
        <v>Inventory count sheet printed.</v>
      </c>
    </row>
    <row r="791">
      <c r="A791" t="str">
        <v>2026-01-28T18:07:44.610Z</v>
      </c>
      <c r="B791" t="str">
        <v>BACKUP</v>
      </c>
      <c r="C791" t="str">
        <v>-</v>
      </c>
      <c r="D791" t="str">
        <v>Full inventory state backed up.</v>
      </c>
    </row>
    <row r="792">
      <c r="A792" t="str">
        <v>2026-01-28T17:57:14.660Z</v>
      </c>
      <c r="B792" t="str">
        <v>EDIT ITEM</v>
      </c>
      <c r="C792" t="str">
        <v>LBL-OORL16G_NS</v>
      </c>
      <c r="D792" t="str">
        <v>Qty: "28 | 13×48 | 10×48 | 48 | 15" -&gt; "28 | 13×48 | 11×48 | 15"</v>
      </c>
    </row>
    <row r="793">
      <c r="A793" t="str">
        <v>2026-01-28T17:56:31.900Z</v>
      </c>
      <c r="B793" t="str">
        <v>EDIT ITEM</v>
      </c>
      <c r="C793" t="str">
        <v>LBL-EHOPCUA90G8_NS</v>
      </c>
      <c r="D793" t="str">
        <v>Qty: "4×18 | 19 | 18 | 8" -&gt; "4×18 | 19 | 24 | 2"</v>
      </c>
    </row>
    <row r="794">
      <c r="A794" t="str">
        <v>2026-01-28T17:56:07.828Z</v>
      </c>
      <c r="B794" t="str">
        <v>EDIT ITEM</v>
      </c>
      <c r="C794" t="str">
        <v>LBL-EHOPCL24G_NS</v>
      </c>
      <c r="D794" t="str">
        <v>Qty: "27×48 | 54 | 50" -&gt; "27×48 | 54 | 50 l 4"</v>
      </c>
    </row>
    <row r="795">
      <c r="A795" t="str">
        <v>2026-01-28T17:55:54.452Z</v>
      </c>
      <c r="B795" t="str">
        <v>EDIT ITEM</v>
      </c>
      <c r="C795" t="str">
        <v>LBL-EHOPCL24G_NS</v>
      </c>
      <c r="D795" t="str">
        <v>Qty: "28×48 | 8 | 52" -&gt; "27×48 | 54 | 50"</v>
      </c>
    </row>
    <row r="796">
      <c r="A796" t="str">
        <v>2026-01-28T17:55:29.324Z</v>
      </c>
      <c r="B796" t="str">
        <v>EDIT ITEM</v>
      </c>
      <c r="C796" t="str">
        <v>LBL-OFCL24G-VL-ND</v>
      </c>
      <c r="D796" t="str">
        <v>Qty: "17×48 | 19×48 | 11 | 21" -&gt; "17×48 | 18×48 | 11 | 21 l 47"</v>
      </c>
    </row>
    <row r="797">
      <c r="A797" t="str">
        <v>2026-01-28T17:55:00.268Z</v>
      </c>
      <c r="B797" t="str">
        <v>EDIT ITEM</v>
      </c>
      <c r="C797" t="str">
        <v>LBL-CRPL24G-VL-ND</v>
      </c>
      <c r="D797" t="str">
        <v>Qty: "14×48 | 14 | 20×48 | 9 | 18×48 | 20×48 l 21x48" -&gt; "14×48 | 14 | 20×48 | 9 | 18×48 | 20×48 | 21×48 l 1"</v>
      </c>
    </row>
    <row r="798">
      <c r="A798" t="str">
        <v>2026-01-28T17:31:57.095Z</v>
      </c>
      <c r="B798" t="str">
        <v>BULK WITHDRAW</v>
      </c>
      <c r="C798" t="str">
        <v>9 items</v>
      </c>
      <c r="D798" t="str">
        <v>BAG-A19.5X35PE (-24,000), BAG-B21.50X29PE (-24,000), BAG-A26X32.50PE (-24,000), BAG-B10.50X12PP (-160,000), BAG-B20.87X31.89FH (-24,000), LBL-EHOPCL24G_NS (-46), LBL-EHOPCUA90G8_NS (-12), LBL-OORXS5G-E_NS (-24), LBL-RCUA90G-8_NS (-18)</v>
      </c>
    </row>
    <row r="799">
      <c r="A799" t="str">
        <v>2026-01-28T17:30:19.970Z</v>
      </c>
      <c r="B799" t="str">
        <v>DELIVERY (BULK)</v>
      </c>
      <c r="C799" t="str">
        <v>LBL-OORL16G_NS</v>
      </c>
      <c r="D799" t="str">
        <v>+63 pcs</v>
      </c>
    </row>
    <row r="800">
      <c r="A800" t="str">
        <v>2026-01-28T10:12:42.521Z</v>
      </c>
      <c r="B800" t="str">
        <v>EXPORT REPORT</v>
      </c>
      <c r="C800" t="str">
        <v>-</v>
      </c>
      <c r="D800" t="str">
        <v>Human-readable report exported.</v>
      </c>
    </row>
    <row r="801">
      <c r="A801" t="str">
        <v>2026-01-28T10:12:38.752Z</v>
      </c>
      <c r="B801" t="str">
        <v>BACKUP</v>
      </c>
      <c r="C801" t="str">
        <v>-</v>
      </c>
      <c r="D801" t="str">
        <v>Full inventory state backed up.</v>
      </c>
    </row>
    <row r="802">
      <c r="A802" t="str">
        <v>2026-01-28T10:12:16.727Z</v>
      </c>
      <c r="B802" t="str">
        <v>PRINT</v>
      </c>
      <c r="C802" t="str">
        <v>-</v>
      </c>
      <c r="D802" t="str">
        <v>Inventory count sheet printed.</v>
      </c>
    </row>
    <row r="803">
      <c r="A803" t="str">
        <v>2026-01-28T10:11:41.220Z</v>
      </c>
      <c r="B803" t="str">
        <v>EDIT ITEM</v>
      </c>
      <c r="C803" t="str">
        <v>LBL-SKYFL20G_NS</v>
      </c>
      <c r="D803" t="str">
        <v>Qty: "2×48 | 35 | 49" -&gt; "3×48 | 35"</v>
      </c>
    </row>
    <row r="804">
      <c r="A804" t="str">
        <v>2026-01-28T10:11:18.549Z</v>
      </c>
      <c r="B804" t="str">
        <v>EDIT ITEM</v>
      </c>
      <c r="C804" t="str">
        <v>LBL-OFKLF22G_NS</v>
      </c>
      <c r="D804" t="str">
        <v>Qty: "13×36 | 42 | 25" -&gt; "13×36 | 42 | 25"</v>
      </c>
    </row>
    <row r="805">
      <c r="A805" t="str">
        <v>2026-01-28T10:09:08.437Z</v>
      </c>
      <c r="B805" t="str">
        <v>EDIT ITEM</v>
      </c>
      <c r="C805" t="str">
        <v>LBL-OFKLF22G_NS</v>
      </c>
      <c r="D805" t="str">
        <v>Qty: "6×36 | 42 | 7×36 | 25" -&gt; "13×36 | 42 | 25"</v>
      </c>
    </row>
    <row r="806">
      <c r="A806" t="str">
        <v>2026-01-28T10:08:45.150Z</v>
      </c>
      <c r="B806" t="str">
        <v>EDIT ITEM</v>
      </c>
      <c r="C806" t="str">
        <v>LBL-EHOPCL24G_NS</v>
      </c>
      <c r="D806" t="str">
        <v>Qty: "28×48 | 50 | 52 | 4" -&gt; "28×48 | 50 | 52 | 4"</v>
      </c>
    </row>
    <row r="807">
      <c r="A807" t="str">
        <v>2026-01-28T10:08:25.982Z</v>
      </c>
      <c r="B807" t="str">
        <v>EDIT ITEM</v>
      </c>
      <c r="C807" t="str">
        <v>LBL-EHOPCL24G_NS</v>
      </c>
      <c r="D807" t="str">
        <v>Qty: "2×48 | 27×48 | 50 | 4 | 4" -&gt; "28×48 | 50 | 52 | 4"</v>
      </c>
    </row>
    <row r="808">
      <c r="A808" t="str">
        <v>2026-01-28T10:07:53.332Z</v>
      </c>
      <c r="B808" t="str">
        <v>EDIT ITEM</v>
      </c>
      <c r="C808" t="str">
        <v>LBL-CRPL24G-VL-ND</v>
      </c>
      <c r="D808" t="str">
        <v>Qty: "14×48 | 14 | 20×48 | 9 | 18×48 | 20×48" -&gt; "14×48 | 14 | 20×48 | 9 | 18×48 | 20×48 l 21x48"</v>
      </c>
    </row>
    <row r="809">
      <c r="A809" t="str">
        <v>2026-01-28T10:07:34.324Z</v>
      </c>
      <c r="B809" t="str">
        <v>EDIT ITEM</v>
      </c>
      <c r="C809" t="str">
        <v>LBL-COCL22G_NS</v>
      </c>
      <c r="D809" t="str">
        <v>Qty: "12×48 | 11×48 | 15 | 48 | 8" -&gt; "12×48 | 11×48 | 15 | 56"</v>
      </c>
    </row>
    <row r="810">
      <c r="A810" t="str">
        <v>2026-01-28T09:54:05.900Z</v>
      </c>
      <c r="B810" t="str">
        <v>EDIT ITEM</v>
      </c>
      <c r="C810" t="str">
        <v>LBL-OSHKBH65_NS</v>
      </c>
      <c r="D810" t="str">
        <v>Qty: "18 | 20 | 13" -&gt; "18 | 20 | 13"</v>
      </c>
    </row>
    <row r="811">
      <c r="A811" t="str">
        <v>2026-01-28T09:53:38.547Z</v>
      </c>
      <c r="B811" t="str">
        <v>EDIT ITEM</v>
      </c>
      <c r="C811" t="str">
        <v>LBL-OORL16G_NS</v>
      </c>
      <c r="D811" t="str">
        <v>Qty: "28 | 13×48 | 8×48 | 2×48" -&gt; "28 | 13×48 | 10×48"</v>
      </c>
    </row>
    <row r="812">
      <c r="A812" t="str">
        <v>2026-01-28T09:51:30.357Z</v>
      </c>
      <c r="B812" t="str">
        <v>BULK WITHDRAW</v>
      </c>
      <c r="C812" t="str">
        <v>8 items</v>
      </c>
      <c r="D812" t="str">
        <v>LBL-EHOPCF60G_NS (-18), LBL-EHOPCL24G_NS (-48), LBL-EHOPCUA90G8_NS (-18), LBL-SKYFL20G_NS (-12), LBL-OFKBA80G-800 (-29), LBL-RCL24G_NS (-40), LBL-RCUA90G-8_NS (-18), LBL-SSCL24G_NS (-48)</v>
      </c>
    </row>
    <row r="813">
      <c r="A813" t="str">
        <v>2026-01-28T09:49:19.947Z</v>
      </c>
      <c r="B813" t="str">
        <v>DELIVERY (BULK)</v>
      </c>
      <c r="C813" t="str">
        <v>LBL-OSHKBH65_NS</v>
      </c>
      <c r="D813" t="str">
        <v>+13 pcs</v>
      </c>
    </row>
    <row r="814">
      <c r="A814" t="str">
        <v>2026-01-28T09:49:19.898Z</v>
      </c>
      <c r="B814" t="str">
        <v>DELIVERY (BULK)</v>
      </c>
      <c r="C814" t="str">
        <v>LBL-OFKLF22G_NS</v>
      </c>
      <c r="D814" t="str">
        <v>+277 pcs</v>
      </c>
    </row>
    <row r="815">
      <c r="A815" t="str">
        <v>2026-01-28T09:49:19.846Z</v>
      </c>
      <c r="B815" t="str">
        <v>DELIVERY (BULK)</v>
      </c>
      <c r="C815" t="str">
        <v>LBL-OFCUA90G8_NS</v>
      </c>
      <c r="D815" t="str">
        <v>+10 pcs</v>
      </c>
    </row>
    <row r="816">
      <c r="A816" t="str">
        <v>2026-01-28T09:49:19.790Z</v>
      </c>
      <c r="B816" t="str">
        <v>DELIVERY (BULK)</v>
      </c>
      <c r="C816" t="str">
        <v>LBL-OORL16G_NS</v>
      </c>
      <c r="D816" t="str">
        <v>+96 pcs</v>
      </c>
    </row>
    <row r="817">
      <c r="A817" t="str">
        <v>2026-01-28T09:49:19.733Z</v>
      </c>
      <c r="B817" t="str">
        <v>DELIVERY (BULK)</v>
      </c>
      <c r="C817" t="str">
        <v>LBL-COCL22G_NS</v>
      </c>
      <c r="D817" t="str">
        <v>+56 pcs</v>
      </c>
    </row>
    <row r="818">
      <c r="A818" t="str">
        <v>2026-01-28T09:49:19.681Z</v>
      </c>
      <c r="B818" t="str">
        <v>DELIVERY (BULK)</v>
      </c>
      <c r="C818" t="str">
        <v>LBL-OORL16G_NS</v>
      </c>
      <c r="D818" t="str">
        <v>+384 pcs</v>
      </c>
    </row>
    <row r="819">
      <c r="A819" t="str">
        <v>2026-01-28T09:45:19.205Z</v>
      </c>
      <c r="B819" t="str">
        <v>EDIT ITEM</v>
      </c>
      <c r="C819" t="str">
        <v>LBL-SOPCUA90G8_NS</v>
      </c>
      <c r="D819" t="str">
        <v>Qty: "9×18 | 11" -&gt; "9×18 | 4"</v>
      </c>
    </row>
    <row r="820">
      <c r="A820" t="str">
        <v>2026-01-28T09:45:10.725Z</v>
      </c>
      <c r="B820" t="str">
        <v>EDIT ITEM</v>
      </c>
      <c r="C820" t="str">
        <v>LBL-RCUA90G-8_NS</v>
      </c>
      <c r="D820" t="str">
        <v>Qty: "6×18 | 8 | 5 | 18 l 10" -&gt; "5×18 | 16 | 5 | 18 | 10"</v>
      </c>
    </row>
    <row r="821">
      <c r="A821" t="str">
        <v>2026-01-28T09:44:19.563Z</v>
      </c>
      <c r="B821" t="str">
        <v>EDIT ITEM</v>
      </c>
      <c r="C821" t="str">
        <v>LBL-PFBQBM50G_NS</v>
      </c>
      <c r="D821" t="str">
        <v>Qty: "27 | 26 l 17" -&gt; "27 | 21 | 17"</v>
      </c>
    </row>
    <row r="822">
      <c r="A822" t="str">
        <v>2026-01-28T09:43:47.827Z</v>
      </c>
      <c r="B822" t="str">
        <v>EDIT ITEM</v>
      </c>
      <c r="C822" t="str">
        <v>LBL-OORL16G_NS</v>
      </c>
      <c r="D822" t="str">
        <v>Qty: "48 | 28 | 12×48" -&gt; "28 | 13×48"</v>
      </c>
    </row>
    <row r="823">
      <c r="A823" t="str">
        <v>2026-01-28T09:43:32.323Z</v>
      </c>
      <c r="B823" t="str">
        <v>EDIT ITEM</v>
      </c>
      <c r="C823" t="str">
        <v>LBL-OFKLF22G_NS</v>
      </c>
      <c r="D823" t="str">
        <v>Qty: "4×36 | 2×36 | 42" -&gt; "6×36 | 42"</v>
      </c>
    </row>
    <row r="824">
      <c r="A824" t="str">
        <v>2026-01-28T09:43:11.891Z</v>
      </c>
      <c r="B824" t="str">
        <v>EDIT ITEM</v>
      </c>
      <c r="C824" t="str">
        <v>LBL-COCL22G_NS</v>
      </c>
      <c r="D824" t="str">
        <v>Qty: "11×48 | 30 | 11×48 | 33" -&gt; "12×48 | 11×48 | 15"</v>
      </c>
    </row>
    <row r="825">
      <c r="A825" t="str">
        <v>2026-01-28T09:42:40.308Z</v>
      </c>
      <c r="B825" t="str">
        <v>EDIT ITEM</v>
      </c>
      <c r="C825" t="str">
        <v>BAG-B23X30.32W/HO</v>
      </c>
      <c r="D825" t="str">
        <v>Qty: "7×24000 | 9900 | 7200" -&gt; "7×24000 | 9900 | 7200"</v>
      </c>
    </row>
    <row r="826">
      <c r="A826" t="str">
        <v>2026-01-28T09:42:31.709Z</v>
      </c>
      <c r="B826" t="str">
        <v>EDIT ITEM</v>
      </c>
      <c r="C826" t="str">
        <v>BAG-B23X30.32W/HO</v>
      </c>
      <c r="D826" t="str">
        <v>Qty: "6×24000 | 9900 | 24000 | 7200" -&gt; "7×24000 | 9900 | 7200"</v>
      </c>
    </row>
    <row r="827">
      <c r="A827" t="str">
        <v>2026-01-28T09:42:18.139Z</v>
      </c>
      <c r="B827" t="str">
        <v>EDIT ITEM</v>
      </c>
      <c r="C827" t="str">
        <v>BAG-B22.50X37PE</v>
      </c>
      <c r="D827" t="str">
        <v>Qty: "24000 | 9900 | 2×24000 | 8400" -&gt; "4x24000 | 9600 | 8700"</v>
      </c>
    </row>
    <row r="828">
      <c r="A828" t="str">
        <v>2026-01-28T09:41:25.947Z</v>
      </c>
      <c r="B828" t="str">
        <v>EDIT ITEM</v>
      </c>
      <c r="C828" t="str">
        <v>BAG-A26X32.50PE</v>
      </c>
      <c r="D828" t="str">
        <v>Qty: "13×24000 | 8900 | 15×24000 l 24000" -&gt; "13×24000 | 9200 | 15×24000 | 24000"</v>
      </c>
    </row>
    <row r="829">
      <c r="A829" t="str">
        <v>2026-01-28T09:41:13.619Z</v>
      </c>
      <c r="B829" t="str">
        <v>EDIT ITEM</v>
      </c>
      <c r="C829" t="str">
        <v>BAG-A26X32.50PE</v>
      </c>
      <c r="D829" t="str">
        <v>Qty: "14×24000 | 8900 | 15×24000" -&gt; "13×24000 | 8900 | 15×24000 l 24000"</v>
      </c>
    </row>
    <row r="830">
      <c r="A830" t="str">
        <v>2026-01-28T09:40:47.891Z</v>
      </c>
      <c r="B830" t="str">
        <v>EDIT ITEM</v>
      </c>
      <c r="C830" t="str">
        <v>BAG-A26.5X37.5PE</v>
      </c>
      <c r="D830" t="str">
        <v>Qty: "14×24000 | 3900 | 24000 | 21000" -&gt; "13×24000 | 3900 | 24000 | 21000"</v>
      </c>
    </row>
    <row r="831">
      <c r="A831" t="str">
        <v>2026-01-28T09:40:24.733Z</v>
      </c>
      <c r="B831" t="str">
        <v>EDIT ITEM</v>
      </c>
      <c r="C831" t="str">
        <v>BAG-A22X30PEW/FLAP</v>
      </c>
      <c r="D831" t="str">
        <v>Qty: "24000 | 15000 | 24000 | 22200" -&gt; "2x24000 | 15000 | 22200"</v>
      </c>
    </row>
    <row r="832">
      <c r="A832" t="str">
        <v>2026-01-28T09:39:49.540Z</v>
      </c>
      <c r="B832" t="str">
        <v>EDIT ITEM</v>
      </c>
      <c r="C832" t="str">
        <v>BAG-A19.5X35PE</v>
      </c>
      <c r="D832" t="str">
        <v>Qty: "12×24000 | 13350 | 6×24000 | 9000 | 5×24000 | 18600" -&gt; "12×24000 | 13350 | 6×24000 | 9000 | 18600"</v>
      </c>
    </row>
    <row r="833">
      <c r="A833" t="str">
        <v>2026-01-28T09:39:37.268Z</v>
      </c>
      <c r="B833" t="str">
        <v>EDIT ITEM</v>
      </c>
      <c r="C833" t="str">
        <v>BAG-A19.5X35PE</v>
      </c>
      <c r="D833" t="str">
        <v>Qty: "7×24000 | 13350 | 6×24000 | 9000 | 5×24000 | 18600" -&gt; "12×24000 | 13350 | 6×24000 | 9000 | 5×24000 | 18600"</v>
      </c>
    </row>
    <row r="834">
      <c r="A834" t="str">
        <v>2026-01-27T21:56:52.697Z</v>
      </c>
      <c r="B834" t="str">
        <v>PRINT</v>
      </c>
      <c r="C834" t="str">
        <v>-</v>
      </c>
      <c r="D834" t="str">
        <v>Inventory count sheet printed.</v>
      </c>
    </row>
    <row r="835">
      <c r="A835" t="str">
        <v>2026-01-27T21:49:49.444Z</v>
      </c>
      <c r="B835" t="str">
        <v>BULK WITHDRAW</v>
      </c>
      <c r="C835" t="str">
        <v>11 items</v>
      </c>
      <c r="D835" t="str">
        <v>BAG-A22.50X39PE (-12,000), BAG-B23X30.32W/HO (-36,000), BAG-A26X32.50PE (-24,000), BAG-B22.50X37PE (-24,000), LBL-COCL22G_NS (-30), LBL-OFKLF22G_NS (-36), LBL-OORL16G_NS (-20), LBL-PFCLB21G_NS (-48), LBL-RCSL24G_NS (-48), LBL-RCSUA85G8_NS (-18), LBL-RCSUA85GEXP-US (-12)</v>
      </c>
    </row>
    <row r="836">
      <c r="A836" t="str">
        <v>2026-01-27T21:40:05.930Z</v>
      </c>
      <c r="B836" t="str">
        <v>DELIVERY (BULK)</v>
      </c>
      <c r="C836" t="str">
        <v>BAG-A26.5X37.5PE</v>
      </c>
      <c r="D836" t="str">
        <v>+45,000 pcs</v>
      </c>
    </row>
    <row r="837">
      <c r="A837" t="str">
        <v>2026-01-27T21:40:05.881Z</v>
      </c>
      <c r="B837" t="str">
        <v>DELIVERY (BULK)</v>
      </c>
      <c r="C837" t="str">
        <v>BAG-B18X30BPE</v>
      </c>
      <c r="D837" t="str">
        <v>+181,500 pcs</v>
      </c>
    </row>
    <row r="838">
      <c r="A838" t="str">
        <v>2026-01-27T21:40:05.824Z</v>
      </c>
      <c r="B838" t="str">
        <v>DELIVERY (BULK)</v>
      </c>
      <c r="C838" t="str">
        <v>BAG-A19.5X35PE</v>
      </c>
      <c r="D838" t="str">
        <v>+138,600 pcs</v>
      </c>
    </row>
    <row r="839">
      <c r="A839" t="str">
        <v>2026-01-27T21:40:05.770Z</v>
      </c>
      <c r="B839" t="str">
        <v>DELIVERY (BULK)</v>
      </c>
      <c r="C839" t="str">
        <v>BAG-B15.50X42PE</v>
      </c>
      <c r="D839" t="str">
        <v>+81,000 pcs</v>
      </c>
    </row>
    <row r="840">
      <c r="A840" t="str">
        <v>2026-01-27T21:40:05.721Z</v>
      </c>
      <c r="B840" t="str">
        <v>DELIVERY (BULK)</v>
      </c>
      <c r="C840" t="str">
        <v>BAG-B21.50X29PE</v>
      </c>
      <c r="D840" t="str">
        <v>+201,600 pcs</v>
      </c>
    </row>
    <row r="841">
      <c r="A841" t="str">
        <v>2026-01-27T21:36:43.878Z</v>
      </c>
      <c r="B841" t="str">
        <v>DELIVERY (BULK)</v>
      </c>
      <c r="C841" t="str">
        <v>BAG-B23X30.32W/HO</v>
      </c>
      <c r="D841" t="str">
        <v>+31,200 pcs</v>
      </c>
    </row>
    <row r="842">
      <c r="A842" t="str">
        <v>2026-01-27T21:36:43.825Z</v>
      </c>
      <c r="B842" t="str">
        <v>DELIVERY (BULK)</v>
      </c>
      <c r="C842" t="str">
        <v>BAG-A26X45HD</v>
      </c>
      <c r="D842" t="str">
        <v>+34,800 pcs</v>
      </c>
    </row>
    <row r="843">
      <c r="A843" t="str">
        <v>2026-01-27T21:36:43.777Z</v>
      </c>
      <c r="B843" t="str">
        <v>DELIVERY (BULK)</v>
      </c>
      <c r="C843" t="str">
        <v>BAG-A22X30PEW/FLAP</v>
      </c>
      <c r="D843" t="str">
        <v>+46,200 pcs</v>
      </c>
    </row>
    <row r="844">
      <c r="A844" t="str">
        <v>2026-01-27T21:34:02.383Z</v>
      </c>
      <c r="B844" t="str">
        <v>DELIVERY (BULK)</v>
      </c>
      <c r="C844" t="str">
        <v>LBL-OPCF60GH_NS</v>
      </c>
      <c r="D844" t="str">
        <v>+144 pcs</v>
      </c>
    </row>
    <row r="845">
      <c r="A845" t="str">
        <v>2026-01-27T21:34:02.319Z</v>
      </c>
      <c r="B845" t="str">
        <v>DELIVERY (BULK)</v>
      </c>
      <c r="C845" t="str">
        <v>LBL-OPSSUA80G8_NS</v>
      </c>
      <c r="D845" t="str">
        <v>+54 pcs</v>
      </c>
    </row>
    <row r="846">
      <c r="A846" t="str">
        <v>2026-01-27T21:34:02.274Z</v>
      </c>
      <c r="B846" t="str">
        <v>DELIVERY (BULK)</v>
      </c>
      <c r="C846" t="str">
        <v>LBL-OFKLF22G_NS</v>
      </c>
      <c r="D846" t="str">
        <v>+114 pcs</v>
      </c>
    </row>
    <row r="847">
      <c r="A847" t="str">
        <v>2026-01-27T21:34:02.232Z</v>
      </c>
      <c r="B847" t="str">
        <v>DELIVERY (BULK)</v>
      </c>
      <c r="C847" t="str">
        <v>LBL-SKYFL20G_NS</v>
      </c>
      <c r="D847" t="str">
        <v>+49 pcs</v>
      </c>
    </row>
    <row r="848">
      <c r="A848" t="str">
        <v>2026-01-27T21:34:02.178Z</v>
      </c>
      <c r="B848" t="str">
        <v>DELIVERY (BULK)</v>
      </c>
      <c r="C848" t="str">
        <v>LBL-OORL16G_NS</v>
      </c>
      <c r="D848" t="str">
        <v>+576 pcs</v>
      </c>
    </row>
    <row r="849">
      <c r="A849" t="str">
        <v>2026-01-27T10:21:09.067Z</v>
      </c>
      <c r="B849" t="str">
        <v>EXPORT REPORT</v>
      </c>
      <c r="C849" t="str">
        <v>-</v>
      </c>
      <c r="D849" t="str">
        <v>Human-readable report exported.</v>
      </c>
    </row>
    <row r="850">
      <c r="A850" t="str">
        <v>2026-01-27T10:21:05.232Z</v>
      </c>
      <c r="B850" t="str">
        <v>BACKUP</v>
      </c>
      <c r="C850" t="str">
        <v>-</v>
      </c>
      <c r="D850" t="str">
        <v>Full inventory state backed up.</v>
      </c>
    </row>
    <row r="851">
      <c r="A851" t="str">
        <v>2026-01-27T10:14:56.686Z</v>
      </c>
      <c r="B851" t="str">
        <v>PRINT</v>
      </c>
      <c r="C851" t="str">
        <v>-</v>
      </c>
      <c r="D851" t="str">
        <v>Inventory count sheet printed.</v>
      </c>
    </row>
    <row r="852">
      <c r="A852" t="str">
        <v>2026-01-27T10:14:31.979Z</v>
      </c>
      <c r="B852" t="str">
        <v>EDIT ITEM</v>
      </c>
      <c r="C852" t="str">
        <v>LBL-RCL24G_NS</v>
      </c>
      <c r="D852" t="str">
        <v>Qty: "44" -&gt; "40"</v>
      </c>
    </row>
    <row r="853">
      <c r="A853" t="str">
        <v>2026-01-27T10:14:20.396Z</v>
      </c>
      <c r="B853" t="str">
        <v>EDIT ITEM</v>
      </c>
      <c r="C853" t="str">
        <v>LBL-COCL22G_NS</v>
      </c>
      <c r="D853" t="str">
        <v>Qty: "3×48 | 12 | 20×48 | 33" -&gt; "12×48 | 12 | 11×48 | 33"</v>
      </c>
    </row>
    <row r="854">
      <c r="A854" t="str">
        <v>2026-01-27T10:13:57.292Z</v>
      </c>
      <c r="B854" t="str">
        <v>EDIT ITEM</v>
      </c>
      <c r="C854" t="str">
        <v>BAG-B23X30.32W/HO</v>
      </c>
      <c r="D854" t="str">
        <v>Qty: "2×24000 | 20400 | 13500" -&gt; "7×24000 | 21900"</v>
      </c>
    </row>
    <row r="855">
      <c r="A855" t="str">
        <v>2026-01-27T10:13:05.661Z</v>
      </c>
      <c r="B855" t="str">
        <v>EDIT ITEM</v>
      </c>
      <c r="C855" t="str">
        <v>BAG-B21.50X29PE</v>
      </c>
      <c r="D855" t="str">
        <v>Qty: "8×24000 | 15000 | 21×24000 | 4800 | 14100 | 24000 | 15000" -&gt; "8×24000 | 10800 | 23×24000 | 14100"</v>
      </c>
    </row>
    <row r="856">
      <c r="A856" t="str">
        <v>2026-01-27T10:12:27.670Z</v>
      </c>
      <c r="B856" t="str">
        <v>EDIT ITEM</v>
      </c>
      <c r="C856" t="str">
        <v>BAG-B18X30BPE</v>
      </c>
      <c r="D856" t="str">
        <v>Qty: "17×36000 | 5400 | 2×36000 | 36000 | 16800" -&gt; "18×36000 | 5700 | 16800 | 2×36000 "</v>
      </c>
    </row>
    <row r="857">
      <c r="A857" t="str">
        <v>2026-01-27T10:11:32.340Z</v>
      </c>
      <c r="B857" t="str">
        <v>EDIT ITEM</v>
      </c>
      <c r="C857" t="str">
        <v>BAG-B17.5X34PE</v>
      </c>
      <c r="D857" t="str">
        <v>Qty: "4×30000 | 6×24000 | 12600 | 6000" -&gt; "4×30000 | 6×24000 | 12600 | 6000"</v>
      </c>
    </row>
    <row r="858">
      <c r="A858" t="str">
        <v>2026-01-27T10:11:12.701Z</v>
      </c>
      <c r="B858" t="str">
        <v>EDIT ITEM</v>
      </c>
      <c r="C858" t="str">
        <v>BAG-B17.5X34PE</v>
      </c>
      <c r="D858" t="str">
        <v>Qty: "4×30000 | 3×24000 | 12600 | 3×24000 | 6000" -&gt; "4×30000 | 6×24000 | 12600 | 6000"</v>
      </c>
    </row>
    <row r="859">
      <c r="A859" t="str">
        <v>2026-01-27T10:10:53.916Z</v>
      </c>
      <c r="B859" t="str">
        <v>EDIT ITEM</v>
      </c>
      <c r="C859" t="str">
        <v>BAG-B15.50X23PE</v>
      </c>
      <c r="D859" t="str">
        <v>Qty: "5×36000 | 32700" -&gt; "5×36000 | 19200"</v>
      </c>
    </row>
    <row r="860">
      <c r="A860" t="str">
        <v>2026-01-27T10:10:39.284Z</v>
      </c>
      <c r="B860" t="str">
        <v>EDIT ITEM</v>
      </c>
      <c r="C860" t="str">
        <v>BAG-A26X45HD</v>
      </c>
      <c r="D860" t="str">
        <v>Qty: "3×19200 | 2×19200 | 15000 | 2×24000" -&gt; "3×19200 | 2×19200 | 15000 | 2×24000"</v>
      </c>
    </row>
    <row r="861">
      <c r="A861" t="str">
        <v>2026-01-27T10:10:23.915Z</v>
      </c>
      <c r="B861" t="str">
        <v>EDIT ITEM</v>
      </c>
      <c r="C861" t="str">
        <v>BAG-A26X45HD</v>
      </c>
      <c r="D861" t="str">
        <v>Qty: "3×19200 | 2×19200 | 8400 | 2×24000 | 6600" -&gt; "3×19200 | 2×19200 | 15000 | 2×24000"</v>
      </c>
    </row>
    <row r="862">
      <c r="A862" t="str">
        <v>2026-01-27T10:09:49.667Z</v>
      </c>
      <c r="B862" t="str">
        <v>EDIT ITEM</v>
      </c>
      <c r="C862" t="str">
        <v>BAG-A26X32.50PE</v>
      </c>
      <c r="D862" t="str">
        <v>Qty: "12×24000 | 11900 | 14×24000 | 24300 | 2×24000 | 21000" -&gt; "15×24000 | 8900 | 15×24000"</v>
      </c>
    </row>
    <row r="863">
      <c r="A863" t="str">
        <v>2026-01-27T10:09:25.069Z</v>
      </c>
      <c r="B863" t="str">
        <v>EDIT ITEM</v>
      </c>
      <c r="C863" t="str">
        <v>BAG-A22.50X39PE</v>
      </c>
      <c r="D863" t="str">
        <v>Qty: "3×24000 | 21300 | 5×24000 | 9300 | 2×24000 | 19200" -&gt; "10×24000 | 21300 |  9300 | 19200"</v>
      </c>
    </row>
    <row r="864">
      <c r="A864" t="str">
        <v>2026-01-27T09:33:32.227Z</v>
      </c>
      <c r="B864" t="str">
        <v>EDIT ITEM</v>
      </c>
      <c r="C864" t="str">
        <v>LBL-RCSL24G_NS</v>
      </c>
      <c r="D864" t="str">
        <v>Qty: "10×48 | 23" -&gt; "10×48 | 23"</v>
      </c>
    </row>
    <row r="865">
      <c r="A865" t="str">
        <v>2026-01-27T09:31:36.651Z</v>
      </c>
      <c r="B865" t="str">
        <v>EDIT ITEM</v>
      </c>
      <c r="C865" t="str">
        <v>BUNDLES-44X60</v>
      </c>
      <c r="D865" t="str">
        <v>Qty: "5×6400 | 5600 | 5050 | 1400" -&gt; "5×6400 | 850 | 2x5600"</v>
      </c>
    </row>
    <row r="866">
      <c r="A866" t="str">
        <v>2026-01-27T09:30:25.988Z</v>
      </c>
      <c r="B866" t="str">
        <v>EDIT ITEM</v>
      </c>
      <c r="C866" t="str">
        <v>BAG-B6X7FPP</v>
      </c>
      <c r="D866" t="str">
        <v>Qty: "469000 | 51000" -&gt; "520000"</v>
      </c>
    </row>
    <row r="867">
      <c r="A867" t="str">
        <v>2026-01-27T09:23:59.763Z</v>
      </c>
      <c r="B867" t="str">
        <v>EDIT ITEM</v>
      </c>
      <c r="C867" t="str">
        <v>BAG-A26.5X37.5PE</v>
      </c>
      <c r="D867" t="str">
        <v>Qty: "14×24000 | 3000 | 900" -&gt; "14×24000 | 3900"</v>
      </c>
    </row>
    <row r="868">
      <c r="A868" t="str">
        <v>2026-01-27T09:22:17.051Z</v>
      </c>
      <c r="B868" t="str">
        <v>EDIT ITEM</v>
      </c>
      <c r="C868" t="str">
        <v>BAG-A19.5X35PE</v>
      </c>
      <c r="D868" t="str">
        <v>Qty: "8×24000 | 4350 | 5×24000 | 18000" -&gt; "7×24000 | 13350 | 6×24000 | 9000"</v>
      </c>
    </row>
    <row r="869">
      <c r="A869" t="str">
        <v>2026-01-27T09:18:48.549Z</v>
      </c>
      <c r="B869" t="str">
        <v>BULK WITHDRAW</v>
      </c>
      <c r="C869" t="str">
        <v>5 items</v>
      </c>
      <c r="D869" t="str">
        <v>BAG-A19.5X35PE (-15,000), BAG-B21.50X29PE (-150,000), BAG-A26.5X37.5PE (-15,000), BAG-B18X30BPE (-15,000), BUNDLES-44X60 (-2,500)</v>
      </c>
    </row>
    <row r="870">
      <c r="A870" t="str">
        <v>2026-01-27T09:17:57.267Z</v>
      </c>
      <c r="B870" t="str">
        <v>BULK WITHDRAW</v>
      </c>
      <c r="C870" t="str">
        <v>23 items</v>
      </c>
      <c r="D870" t="str">
        <v>BAG-A19.5X35PE (-15,000), BAG-A22.50X39PE (-1,500), BAG-B21.50X29PE (-195,000), BAG-A22X30PE (-600), BAG-B23X30.32W/HO (-120,000), BAG-A26X32.50PE (-33,000), BAG-A26X45HD (-9,000), BAG-A26.5X37.5PE (-6,000), BAG-A27X42PE (-7,500), BAG-B15.50X23PE (-1,500), BAG-B15.50X42PE (-1,200), BAG-B18X27MLRLPE (-3,000), BAG-B22.50X37PE (-6,000), BAG-B6X7FPP (-571,000), LBL-COCL22G_NS (-96), LBL-SKYFL20G_NS (-48), LBL-OFKLF22G_NS (-108), LBL-OORL16G_NS (-96), LBL-PFCLB21G_NS (-48), LBL-PFCUA90G-8_NS (-12), LBL-RCBM50EXP-UNI (-8), LBL-RCL24G_NS (-48), LBL-RCSL24G_NS (-96)</v>
      </c>
    </row>
    <row r="871">
      <c r="A871" t="str">
        <v>2026-01-27T09:12:05.656Z</v>
      </c>
      <c r="B871" t="str">
        <v>DELIVERY (BULK)</v>
      </c>
      <c r="C871" t="str">
        <v>LBL-COCL22G_NS</v>
      </c>
      <c r="D871" t="str">
        <v>+993 pcs</v>
      </c>
    </row>
    <row r="872">
      <c r="A872" t="str">
        <v>2026-01-27T09:09:52.373Z</v>
      </c>
      <c r="B872" t="str">
        <v>DELIVERY (BULK)</v>
      </c>
      <c r="C872" t="str">
        <v>BAG-B21.50X29PE</v>
      </c>
      <c r="D872" t="str">
        <v>+39,000 pcs</v>
      </c>
    </row>
    <row r="873">
      <c r="A873" t="str">
        <v>2026-01-27T09:09:52.326Z</v>
      </c>
      <c r="B873" t="str">
        <v>DELIVERY (BULK)</v>
      </c>
      <c r="C873" t="str">
        <v>BAG-A27X42PE</v>
      </c>
      <c r="D873" t="str">
        <v>+23,000 pcs</v>
      </c>
    </row>
    <row r="874">
      <c r="A874" t="str">
        <v>2026-01-27T09:09:52.282Z</v>
      </c>
      <c r="B874" t="str">
        <v>DELIVERY (BULK)</v>
      </c>
      <c r="C874" t="str">
        <v>BAG-B18X30BPE</v>
      </c>
      <c r="D874" t="str">
        <v>+52,800 pcs</v>
      </c>
    </row>
    <row r="875">
      <c r="A875" t="str">
        <v>2026-01-27T09:09:52.241Z</v>
      </c>
      <c r="B875" t="str">
        <v>DELIVERY (BULK)</v>
      </c>
      <c r="C875" t="str">
        <v>BAG-B17.5X34PE</v>
      </c>
      <c r="D875" t="str">
        <v>+78,000 pcs</v>
      </c>
    </row>
    <row r="876">
      <c r="A876" t="str">
        <v>2026-01-27T09:09:52.198Z</v>
      </c>
      <c r="B876" t="str">
        <v>DELIVERY (BULK)</v>
      </c>
      <c r="C876" t="str">
        <v>BAG-A25.5X32PE</v>
      </c>
      <c r="D876" t="str">
        <v>+38,700 pcs</v>
      </c>
    </row>
    <row r="877">
      <c r="A877" t="str">
        <v>2026-01-27T09:09:52.156Z</v>
      </c>
      <c r="B877" t="str">
        <v>DELIVERY (BULK)</v>
      </c>
      <c r="C877" t="str">
        <v>BAG-B22.50X37PE</v>
      </c>
      <c r="D877" t="str">
        <v>+56,400 pcs</v>
      </c>
    </row>
    <row r="878">
      <c r="A878" t="str">
        <v>2026-01-27T09:09:52.114Z</v>
      </c>
      <c r="B878" t="str">
        <v>DELIVERY (BULK)</v>
      </c>
      <c r="C878" t="str">
        <v>BAG-A22.50X39PE</v>
      </c>
      <c r="D878" t="str">
        <v>+67,200 pcs</v>
      </c>
    </row>
    <row r="879">
      <c r="A879" t="str">
        <v>2026-01-27T09:09:52.072Z</v>
      </c>
      <c r="B879" t="str">
        <v>DELIVERY (BULK)</v>
      </c>
      <c r="C879" t="str">
        <v>BAG-A26X32.50PE</v>
      </c>
      <c r="D879" t="str">
        <v>+69,000 pcs</v>
      </c>
    </row>
    <row r="880">
      <c r="A880" t="str">
        <v>2026-01-27T09:04:56.017Z</v>
      </c>
      <c r="B880" t="str">
        <v>RESTORE</v>
      </c>
      <c r="C880" t="str">
        <v>-</v>
      </c>
      <c r="D880" t="str">
        <v>Full inventory state restored from backup_01-26-26_5-55-AM_NS.xlsx.</v>
      </c>
    </row>
    <row r="881">
      <c r="A881" t="str">
        <v>2026-01-26T17:58:46.681Z</v>
      </c>
      <c r="B881" t="str">
        <v>PRINT</v>
      </c>
      <c r="C881" t="str">
        <v>-</v>
      </c>
      <c r="D881" t="str">
        <v>Inventory count sheet printed.</v>
      </c>
    </row>
    <row r="882">
      <c r="A882" t="str">
        <v>2026-01-26T17:58:04.031Z</v>
      </c>
      <c r="B882" t="str">
        <v>PRINT</v>
      </c>
      <c r="C882" t="str">
        <v>-</v>
      </c>
      <c r="D882" t="str">
        <v>Inventory count sheet printed.</v>
      </c>
    </row>
    <row r="883">
      <c r="A883" t="str">
        <v>2026-01-26T17:57:00.415Z</v>
      </c>
      <c r="B883" t="str">
        <v>PRINT</v>
      </c>
      <c r="C883" t="str">
        <v>-</v>
      </c>
      <c r="D883" t="str">
        <v>Inventory count sheet printed.</v>
      </c>
    </row>
    <row r="884">
      <c r="A884" t="str">
        <v>2026-01-26T17:56:53.663Z</v>
      </c>
      <c r="B884" t="str">
        <v>EXPORT REPORT</v>
      </c>
      <c r="C884" t="str">
        <v>-</v>
      </c>
      <c r="D884" t="str">
        <v>Human-readable report exported.</v>
      </c>
    </row>
    <row r="885">
      <c r="A885" t="str">
        <v>2026-01-26T17:56:29.762Z</v>
      </c>
      <c r="B885" t="str">
        <v>BACKUP</v>
      </c>
      <c r="C885" t="str">
        <v>-</v>
      </c>
      <c r="D885" t="str">
        <v>Full inventory state backed up.</v>
      </c>
    </row>
    <row r="886">
      <c r="A886" t="str">
        <v>2026-01-26T17:56:00.121Z</v>
      </c>
      <c r="B886" t="str">
        <v>BULK WITHDRAW</v>
      </c>
      <c r="C886" t="str">
        <v>1 items</v>
      </c>
      <c r="D886" t="str">
        <v>LBL-PFKBM50EXP_NS (-4)</v>
      </c>
    </row>
    <row r="887">
      <c r="A887" t="str">
        <v>2026-01-26T17:39:13.301Z</v>
      </c>
      <c r="B887" t="str">
        <v>EDIT ITEM</v>
      </c>
      <c r="C887" t="str">
        <v>BAG-B21.50X29PE</v>
      </c>
      <c r="D887" t="str">
        <v>Qty: "18×24000 | 25×24000 | 4500 | 24300 | 14100" -&gt; "23×24000 | 21×24000 | 4800 | 14100"</v>
      </c>
    </row>
    <row r="888">
      <c r="A888" t="str">
        <v>2026-01-26T17:38:30.295Z</v>
      </c>
      <c r="B888" t="str">
        <v>EDIT ITEM</v>
      </c>
      <c r="C888" t="str">
        <v>BAG-B18X30BPE</v>
      </c>
      <c r="D888" t="str">
        <v>Qty: "18×36000 | 18900 | 1500 | 36000" -&gt; "17×36000 | 20400 | 2x36000"</v>
      </c>
    </row>
    <row r="889">
      <c r="A889" t="str">
        <v>2026-01-26T17:38:03.702Z</v>
      </c>
      <c r="B889" t="str">
        <v>EDIT ITEM</v>
      </c>
      <c r="C889" t="str">
        <v>BAG-A26X45HD</v>
      </c>
      <c r="D889" t="str">
        <v>Qty: "4×19200 | 19200 | 4200 | 2×24000 | 13200 | 6600" -&gt; "3×19200 | 2x19200 | 17400 | 2×24000 | 6600"</v>
      </c>
    </row>
    <row r="890">
      <c r="A890" t="str">
        <v>2026-01-26T17:37:22.367Z</v>
      </c>
      <c r="B890" t="str">
        <v>EDIT ITEM</v>
      </c>
      <c r="C890" t="str">
        <v>BAG-A23X42PE-G</v>
      </c>
      <c r="D890" t="str">
        <v>Qty: "10×19200 | 4800 | 21600 | 3×19200 | 2×19200 | 6000 | 19200 | 12000" -&gt; "12×19200 | 4800 | 21600 | 3×19200 | 6000 | 19200 | 12000"</v>
      </c>
    </row>
    <row r="891">
      <c r="A891" t="str">
        <v>2026-01-26T17:17:19.040Z</v>
      </c>
      <c r="B891" t="str">
        <v>BULK WITHDRAW</v>
      </c>
      <c r="C891" t="str">
        <v>2 items</v>
      </c>
      <c r="D891" t="str">
        <v>BAG-B21.50X29PE (-24,000), BAG-B18X30BPE (-36,000)</v>
      </c>
    </row>
    <row r="892">
      <c r="A892" t="str">
        <v>2026-01-26T17:15:41.149Z</v>
      </c>
      <c r="B892" t="str">
        <v>EDIT ITEM</v>
      </c>
      <c r="C892" t="str">
        <v>LBL-SOPCUA90G8_NS</v>
      </c>
      <c r="D892" t="str">
        <v>Qty: "9×18 | 4" -&gt; "9×18 | 11"</v>
      </c>
    </row>
    <row r="893">
      <c r="A893" t="str">
        <v>2026-01-26T17:15:26.293Z</v>
      </c>
      <c r="B893" t="str">
        <v>EDIT ITEM</v>
      </c>
      <c r="C893" t="str">
        <v>LBL-SOPCL24G_NS</v>
      </c>
      <c r="D893" t="str">
        <v>Qty: "3×48 | 30 | 9×48 | 10" -&gt; "5×48 | 30 | 9×48 | 10"</v>
      </c>
    </row>
    <row r="894">
      <c r="A894" t="str">
        <v>2026-01-26T17:15:12.734Z</v>
      </c>
      <c r="B894" t="str">
        <v>EDIT ITEM</v>
      </c>
      <c r="C894" t="str">
        <v>LBL-SOPCL24G_NS</v>
      </c>
      <c r="D894" t="str">
        <v>Qty: "2×48 | 38 | 9×48 | 50" -&gt; "3×48 | 30 | 9×48 | 10"</v>
      </c>
    </row>
    <row r="895">
      <c r="A895" t="str">
        <v>2026-01-26T17:14:44.527Z</v>
      </c>
      <c r="B895" t="str">
        <v>EDIT ITEM</v>
      </c>
      <c r="C895" t="str">
        <v>LBL-RCUA90G-8_NS</v>
      </c>
      <c r="D895" t="str">
        <v>Qty: "6×18 | 8 | 5 | 18" -&gt; "6×18 | 8 | 5 | 18 l 10"</v>
      </c>
    </row>
    <row r="896">
      <c r="A896" t="str">
        <v>2026-01-26T17:14:25.285Z</v>
      </c>
      <c r="B896" t="str">
        <v>EDIT ITEM</v>
      </c>
      <c r="C896" t="str">
        <v>LBL-RCSL24G_NS</v>
      </c>
      <c r="D896" t="str">
        <v>Qty: "2×48 | 18 | 10×48 | 43" -&gt; "48 | 28 | 10×48 | 43"</v>
      </c>
    </row>
    <row r="897">
      <c r="A897" t="str">
        <v>2026-01-26T17:14:01.757Z</v>
      </c>
      <c r="B897" t="str">
        <v>EDIT ITEM</v>
      </c>
      <c r="C897" t="str">
        <v>LBL-RCBM50EXP-UNI</v>
      </c>
      <c r="D897" t="str">
        <v>Qty: "27 | 24" -&gt; "2x27 | 7"</v>
      </c>
    </row>
    <row r="898">
      <c r="A898" t="str">
        <v>2026-01-26T17:13:35.021Z</v>
      </c>
      <c r="B898" t="str">
        <v>EDIT ITEM</v>
      </c>
      <c r="C898" t="str">
        <v>LBL-PFCLB21G_NS</v>
      </c>
      <c r="D898" t="str">
        <v>Qty: "10×48 | 21" -&gt; "11×48 | 41"</v>
      </c>
    </row>
    <row r="899">
      <c r="A899" t="str">
        <v>2026-01-26T17:13:10.717Z</v>
      </c>
      <c r="B899" t="str">
        <v>EDIT ITEM</v>
      </c>
      <c r="C899" t="str">
        <v>LBL-PFBQBM50G_NS</v>
      </c>
      <c r="D899" t="str">
        <v>Qty: "22 | 12" -&gt; "27 | 26 l 17"</v>
      </c>
    </row>
    <row r="900">
      <c r="A900" t="str">
        <v>2026-01-26T17:12:01.463Z</v>
      </c>
      <c r="B900" t="str">
        <v>EDIT ITEM</v>
      </c>
      <c r="C900" t="str">
        <v>LBL-EHOPCL24G_NS</v>
      </c>
      <c r="D900" t="str">
        <v>Qty: "3×48 | 27×48 | 30 | 24 | 4" -&gt; "3×48 | 27×48 | 50 | 4 | 4"</v>
      </c>
    </row>
    <row r="901">
      <c r="A901" t="str">
        <v>2026-01-26T17:11:19.037Z</v>
      </c>
      <c r="B901" t="str">
        <v>EDIT ITEM</v>
      </c>
      <c r="C901" t="str">
        <v>LBL-CRPUA85G8_NS</v>
      </c>
      <c r="D901" t="str">
        <v>Qty: "5×18 | 16 | 1" -&gt; "5×18 | 17"</v>
      </c>
    </row>
    <row r="902">
      <c r="A902" t="str">
        <v>2026-01-26T17:10:57.238Z</v>
      </c>
      <c r="B902" t="str">
        <v>EDIT ITEM</v>
      </c>
      <c r="C902" t="str">
        <v>LBL-CRPL24G-VL-ND</v>
      </c>
      <c r="D902" t="str">
        <v>Qty: "8×48 | 41 | 20×48 | 9 | 19×48 | 20×48" -&gt; "14×48 | 14 | 20×48 | 9 | 18×48 | 20×48"</v>
      </c>
    </row>
    <row r="903">
      <c r="A903" t="str">
        <v>2026-01-26T17:10:12.643Z</v>
      </c>
      <c r="B903" t="str">
        <v>DELIVERY (BULK)</v>
      </c>
      <c r="C903" t="str">
        <v>LBL-CRPL24G-VL-ND</v>
      </c>
      <c r="D903" t="str">
        <v>+960 pcs</v>
      </c>
    </row>
    <row r="904">
      <c r="A904" t="str">
        <v>2026-01-26T17:08:59.587Z</v>
      </c>
      <c r="B904" t="str">
        <v>BULK WITHDRAW</v>
      </c>
      <c r="C904" t="str">
        <v>9 items</v>
      </c>
      <c r="D904" t="str">
        <v>LBL-CRPUA85G8_NS (-18), LBL-EHOPCUA90G8_NS (-18), LBL-OPCL24G_NS (-48), LBL-PFCBM50G_NS (-18), LBL-PFCLB21G_NS (-48), LBL-RCSL24G_NS (-48), LBL-RCUA90G-8_NS (-10), LBL-SSCL24G_NS (-48), LBL-CRPL24G-VL-ND (-96)</v>
      </c>
    </row>
    <row r="905">
      <c r="A905" t="str">
        <v>2026-01-26T16:38:38.442Z</v>
      </c>
      <c r="B905" t="str">
        <v>BULK WITHDRAW</v>
      </c>
      <c r="C905" t="str">
        <v>2 items</v>
      </c>
      <c r="D905" t="str">
        <v>LBL-RCSL24G_NS (-96), LBL-RCSUA85G8_NS (-18)</v>
      </c>
    </row>
    <row r="906">
      <c r="A906" t="str">
        <v>2026-01-26T16:37:20.517Z</v>
      </c>
      <c r="B906" t="str">
        <v>EDIT ITEM</v>
      </c>
      <c r="C906" t="str">
        <v>LBL-KYFL20G_NS</v>
      </c>
      <c r="D906" t="str">
        <v>Qty: "6" -&gt; ""</v>
      </c>
    </row>
    <row r="907">
      <c r="A907" t="str">
        <v>2026-01-26T16:34:35.374Z</v>
      </c>
      <c r="B907" t="str">
        <v>EDIT ITEM</v>
      </c>
      <c r="C907" t="str">
        <v>BAG-B23X30.32W/HO</v>
      </c>
      <c r="D907" t="str">
        <v>Qty: "7×24000 | 20400 | 24000 | 13500" -&gt; "7×24000 | 20400 | 13500"</v>
      </c>
    </row>
    <row r="908">
      <c r="A908" t="str">
        <v>2026-01-26T16:33:05.023Z</v>
      </c>
      <c r="B908" t="str">
        <v>BULK WITHDRAW</v>
      </c>
      <c r="C908" t="str">
        <v>1 items</v>
      </c>
      <c r="D908" t="str">
        <v>BAG-B23X30.32W/HO (-24,000)</v>
      </c>
    </row>
    <row r="909">
      <c r="A909" t="str">
        <v>2026-01-26T16:29:29.021Z</v>
      </c>
      <c r="B909" t="str">
        <v>EDIT ITEM</v>
      </c>
      <c r="C909" t="str">
        <v>BAG-A19.5X35PE</v>
      </c>
      <c r="D909" t="str">
        <v>Qty: "8×24000 | 13350 | 7×24000" -&gt; "8×24000 | 4350 | 7×24000"</v>
      </c>
    </row>
    <row r="910">
      <c r="A910" t="str">
        <v>2026-01-26T16:29:05.871Z</v>
      </c>
      <c r="B910" t="str">
        <v>BULK WITHDRAW</v>
      </c>
      <c r="C910" t="str">
        <v>6 items</v>
      </c>
      <c r="D910" t="str">
        <v>BAG-B21.50X29PE (-60,000), BAG-A23X42PE-G (-3,000), BAG-A25.5X32PE (-30,000), BAG-A26X45HD (-6,000), BAG-A26.5X37.5PE (-9,000), BAG-B17.5X34PE (-21,000)</v>
      </c>
    </row>
    <row r="911">
      <c r="A911" t="str">
        <v>2026-01-26T16:11:58.847Z</v>
      </c>
      <c r="B911" t="str">
        <v>BULK WITHDRAW</v>
      </c>
      <c r="C911" t="str">
        <v>2 items</v>
      </c>
      <c r="D911" t="str">
        <v>BAG-B21.50X29PE (-24,000), LBL-PFCLB21G_NS (-48)</v>
      </c>
    </row>
    <row r="912">
      <c r="A912" t="str">
        <v>2026-01-26T16:11:00.853Z</v>
      </c>
      <c r="B912" t="str">
        <v>BULK WITHDRAW</v>
      </c>
      <c r="C912" t="str">
        <v>17 items</v>
      </c>
      <c r="D912" t="str">
        <v>BAG-B21.50X29PE (-12,000), BAG-A22X30PEW/FLAP (-98,100), BAG-A25.5X32PE (-18,000), BAG-A26X45HD (-9,000), BAG-A27X37.50PE (-24,000), LBL-EHOPCL24G_NS (-20), LBL-KYFL20G_NS (-10), LBL-OFCUA90G8_NS (-10), LBL-OPCL24G_NS (-10), LBL-PFCLB21G_NS (-20), LBL-PFKLB21G_NS (-10), LBL-PFLB21G_NS (-10), LBL-RCSL24G_NS (-10), LBL-RCSUA85G8_NS (-5), LBL-SOPCL24G_NS (-20), LBL-SSCL24G_NS (-20), LBL-CRPL24G-VL-ND (-20)</v>
      </c>
    </row>
    <row r="913">
      <c r="A913" t="str">
        <v>2026-01-26T16:08:05.050Z</v>
      </c>
      <c r="B913" t="str">
        <v>BULK WITHDRAW</v>
      </c>
      <c r="C913" t="str">
        <v>12 items</v>
      </c>
      <c r="D913" t="str">
        <v>LBL-CRPUA85G8_NS (-5), LBL-EHOPCL24G_NS (-96), LBL-EHOPCUA90G8_NS (-5), LBL-OFCUA90G8_NS (-26), LBL-PFCLB21G_NS (-48), LBL-PFCUA90G-8_NS (-5), LBL-RCSL24G_NS (-144), LBL-SOPCF60GH_NS (-10), LBL-SOPCL24G_NS (-48), LBL-SSCL24G_NS (-96), LBL-SSCUA90G8_NS (-5), LBL-CRPL24G-VL-ND (-144)</v>
      </c>
    </row>
    <row r="914">
      <c r="A914" t="str">
        <v>2026-01-26T16:05:27.334Z</v>
      </c>
      <c r="B914" t="str">
        <v>BULK WITHDRAW</v>
      </c>
      <c r="C914" t="str">
        <v>9 items</v>
      </c>
      <c r="D914" t="str">
        <v>LBL-4XCH-UA85G (-7), LBL-COCUA70G (-12), LBL-KYFL20G_NS (-20), LBL-OPCSEPS60G_NS (-8), LBL-PFCBM50G_NS (-27), LBL-PFCLB21G_NS (-48), LBL-PFCUA90G-8_NS (-18), LBL-RCBM50EXP-UNI (-12), LBL-SOPCUA90G8_NS (-18)</v>
      </c>
    </row>
    <row r="915">
      <c r="A915" t="str">
        <v>2026-01-26T16:02:49.201Z</v>
      </c>
      <c r="B915" t="str">
        <v>PRINT</v>
      </c>
      <c r="C915" t="str">
        <v>-</v>
      </c>
      <c r="D915" t="str">
        <v>Inventory count sheet printed.</v>
      </c>
    </row>
    <row r="916">
      <c r="A916" t="str">
        <v>2026-01-26T16:02:07.289Z</v>
      </c>
      <c r="B916" t="str">
        <v>DELIVERY (BULK)</v>
      </c>
      <c r="C916" t="str">
        <v>LBL-OORL16G_NS</v>
      </c>
      <c r="D916" t="str">
        <v>+192 pcs</v>
      </c>
    </row>
    <row r="917">
      <c r="A917" t="str">
        <v>2026-01-26T16:02:07.250Z</v>
      </c>
      <c r="B917" t="str">
        <v>DELIVERY (BULK)</v>
      </c>
      <c r="C917" t="str">
        <v>LBL-OFKLF22G_NS</v>
      </c>
      <c r="D917" t="str">
        <v>+288 pcs</v>
      </c>
    </row>
    <row r="918">
      <c r="A918" t="str">
        <v>2026-01-26T16:00:41.581Z</v>
      </c>
      <c r="B918" t="str">
        <v>DELIVERY (BULK)</v>
      </c>
      <c r="C918" t="str">
        <v>BAG-B20.87X31.89FH</v>
      </c>
      <c r="D918" t="str">
        <v>+58,800 pcs</v>
      </c>
    </row>
    <row r="919">
      <c r="A919" t="str">
        <v>2026-01-26T16:00:41.545Z</v>
      </c>
      <c r="B919" t="str">
        <v>DELIVERY (BULK)</v>
      </c>
      <c r="C919" t="str">
        <v>BAG-B23X30.32W/HO</v>
      </c>
      <c r="D919" t="str">
        <v>+37,500 pcs</v>
      </c>
    </row>
    <row r="920">
      <c r="A920" t="str">
        <v>2026-01-26T16:00:41.498Z</v>
      </c>
      <c r="B920" t="str">
        <v>DELIVERY (BULK)</v>
      </c>
      <c r="C920" t="str">
        <v>BAG-A22X30PEW/FLAP</v>
      </c>
      <c r="D920" t="str">
        <v>+39,000 pcs</v>
      </c>
    </row>
    <row r="921">
      <c r="A921" t="str">
        <v>2026-01-26T15:59:09.661Z</v>
      </c>
      <c r="B921" t="str">
        <v>EDIT ITEM</v>
      </c>
      <c r="C921" t="str">
        <v>LBL-OSHKBH65_NS</v>
      </c>
      <c r="D921" t="str">
        <v>Qty: "18 | 20" -&gt; "18 | 20"</v>
      </c>
    </row>
    <row r="922">
      <c r="A922" t="str">
        <v>2026-01-26T15:59:02.196Z</v>
      </c>
      <c r="B922" t="str">
        <v>EDIT ITEM</v>
      </c>
      <c r="C922" t="str">
        <v>LBL-OSHKBH65_NS</v>
      </c>
      <c r="D922" t="str">
        <v>Qty: "18 | 20" -&gt; "18 | 20"</v>
      </c>
    </row>
    <row r="923">
      <c r="A923" t="str">
        <v>2026-01-26T15:58:51.141Z</v>
      </c>
      <c r="B923" t="str">
        <v>EDIT ITEM</v>
      </c>
      <c r="C923" t="str">
        <v>LBL-OSHKBH65_NS</v>
      </c>
      <c r="D923" t="str">
        <v>Qty: "18 | 20" -&gt; "18 | 20"</v>
      </c>
    </row>
    <row r="924">
      <c r="A924" t="str">
        <v>2026-01-26T10:11:44.636Z</v>
      </c>
      <c r="B924" t="str">
        <v>RESTORE</v>
      </c>
      <c r="C924" t="str">
        <v>-</v>
      </c>
      <c r="D924" t="str">
        <v>Full inventory state restored from backup_01-25-26_11-21-PM_NS.xlsx.</v>
      </c>
    </row>
    <row r="925">
      <c r="A925" t="str">
        <v>2026-01-26T10:11:29.827Z</v>
      </c>
      <c r="B925" t="str">
        <v>BULK WITHDRAW</v>
      </c>
      <c r="C925" t="str">
        <v>1 items</v>
      </c>
      <c r="D925" t="str">
        <v>LBL-CRPUA85G8_NS (-3)</v>
      </c>
    </row>
    <row r="926">
      <c r="A926" t="str">
        <v>2026-01-26T10:11:18.664Z</v>
      </c>
      <c r="B926" t="str">
        <v>EDIT ITEM</v>
      </c>
      <c r="C926" t="str">
        <v>LBL-CRPUA85G8_NS</v>
      </c>
      <c r="D926" t="str">
        <v>Qty: "5×18 | 17" -&gt; "5×18 | 10 l 2"</v>
      </c>
    </row>
    <row r="927">
      <c r="A927" t="str">
        <v>2026-01-26T10:10:57.036Z</v>
      </c>
      <c r="B927" t="str">
        <v>BULK WITHDRAW</v>
      </c>
      <c r="C927" t="str">
        <v>1 items</v>
      </c>
      <c r="D927" t="str">
        <v>LBL-CRPUA85G8_NS (-13)</v>
      </c>
    </row>
    <row r="928">
      <c r="A928" t="str">
        <v>2026-01-26T10:10:09.440Z</v>
      </c>
      <c r="B928" t="str">
        <v>EDIT ITEM</v>
      </c>
      <c r="C928" t="str">
        <v>LBL-CRPUA85G8_NS</v>
      </c>
      <c r="D928" t="str">
        <v>Qty: "6×18 | 16 l 6" -&gt; "6×18 | 10 | 2"</v>
      </c>
    </row>
    <row r="929">
      <c r="A929" t="str">
        <v>2026-01-26T10:09:27.385Z</v>
      </c>
      <c r="B929" t="str">
        <v>EDIT ITEM</v>
      </c>
      <c r="C929" t="str">
        <v>BAG-A22X30PE</v>
      </c>
      <c r="D929" t="str">
        <v>Qty: "24000 | 8100" -&gt; "2x24000 | 8100"</v>
      </c>
    </row>
    <row r="930">
      <c r="A930" t="str">
        <v>2026-01-25T22:50:01.131Z</v>
      </c>
      <c r="B930" t="str">
        <v>PRINT</v>
      </c>
      <c r="C930" t="str">
        <v>-</v>
      </c>
      <c r="D930" t="str">
        <v>Inventory count sheet printed.</v>
      </c>
    </row>
    <row r="931">
      <c r="A931" t="str">
        <v>2026-01-25T22:24:50.690Z</v>
      </c>
      <c r="B931" t="str">
        <v>EDIT ITEM</v>
      </c>
      <c r="C931" t="str">
        <v>BAG-B23X30.32W/HO</v>
      </c>
      <c r="D931" t="str">
        <v>Qty: "8×24000 | 20400" -&gt; "7×24000 | 20400"</v>
      </c>
    </row>
    <row r="932">
      <c r="A932" t="str">
        <v>2026-01-25T15:23:00.835Z</v>
      </c>
      <c r="B932" t="str">
        <v>PRINT</v>
      </c>
      <c r="C932" t="str">
        <v>-</v>
      </c>
      <c r="D932" t="str">
        <v>Inventory count sheet printed.</v>
      </c>
    </row>
    <row r="933">
      <c r="A933" t="str">
        <v>2026-01-25T15:22:14.992Z</v>
      </c>
      <c r="B933" t="str">
        <v>PRINT</v>
      </c>
      <c r="C933" t="str">
        <v>-</v>
      </c>
      <c r="D933" t="str">
        <v>Inventory count sheet printed.</v>
      </c>
    </row>
    <row r="934">
      <c r="A934" t="str">
        <v>2026-01-25T15:21:55.073Z</v>
      </c>
      <c r="B934" t="str">
        <v>PRINT</v>
      </c>
      <c r="C934" t="str">
        <v>-</v>
      </c>
      <c r="D934" t="str">
        <v>Inventory count sheet printed.</v>
      </c>
    </row>
    <row r="935">
      <c r="A935" t="str">
        <v>2026-01-25T15:21:38.460Z</v>
      </c>
      <c r="B935" t="str">
        <v>EXPORT REPORT</v>
      </c>
      <c r="C935" t="str">
        <v>-</v>
      </c>
      <c r="D935" t="str">
        <v>Human-readable report exported.</v>
      </c>
    </row>
    <row r="936">
      <c r="A936" t="str">
        <v>2026-01-25T15:21:26.690Z</v>
      </c>
      <c r="B936" t="str">
        <v>BACKUP</v>
      </c>
      <c r="C936" t="str">
        <v>-</v>
      </c>
      <c r="D936" t="str">
        <v>Full inventory state backed up.</v>
      </c>
    </row>
    <row r="937">
      <c r="A937" t="str">
        <v>2026-01-25T15:21:05.270Z</v>
      </c>
      <c r="B937" t="str">
        <v>EDIT ITEM</v>
      </c>
      <c r="C937" t="str">
        <v>BAG-B18X30BPE</v>
      </c>
      <c r="D937" t="str">
        <v>Qty: "19×36000 | 18900 | 1500 | 1×36000" -&gt; "18×36000 | 18900 | 1500 | 2×36000"</v>
      </c>
    </row>
    <row r="938">
      <c r="A938" t="str">
        <v>2026-01-25T15:12:57.415Z</v>
      </c>
      <c r="B938" t="str">
        <v>EDIT ITEM</v>
      </c>
      <c r="C938" t="str">
        <v>BAG-A26.5X37.5PE</v>
      </c>
      <c r="D938" t="str">
        <v>Qty: "15×24000 | 9900" -&gt; "15×24000 | 3900 l 6000"</v>
      </c>
    </row>
    <row r="939">
      <c r="A939" t="str">
        <v>2026-01-25T15:11:52.334Z</v>
      </c>
      <c r="B939" t="str">
        <v>BULK WITHDRAW</v>
      </c>
      <c r="C939" t="str">
        <v>11 items</v>
      </c>
      <c r="D939" t="str">
        <v>BAG-A19.5X35PE (-24,000), BAG-A26.5X37.5PE (-24,000), BAG-B18X30BPE (-36,000), BAG-B22.50X34PE (-24,000), LBL-4XCHL24G_NS (-59), LBL-4XCH-UA85G (-28), LBL-KYFL20G_NS (-24), LBL-OPCF60GE_UNI (-18), LBL-OPCL24G_NS (-22), LBL-OPCUA90G-8_NS (-7), LBL-PFKBM50G-H_NS (-27)</v>
      </c>
    </row>
    <row r="940">
      <c r="A940" t="str">
        <v>2026-01-25T08:54:48.646Z</v>
      </c>
      <c r="B940" t="str">
        <v>PRINT</v>
      </c>
      <c r="C940" t="str">
        <v>-</v>
      </c>
      <c r="D940" t="str">
        <v>Inventory count sheet printed.</v>
      </c>
    </row>
    <row r="941">
      <c r="A941" t="str">
        <v>2026-01-25T08:26:42.637Z</v>
      </c>
      <c r="B941" t="str">
        <v>EDIT ITEM</v>
      </c>
      <c r="C941" t="str">
        <v>LBL-SOPCUA90G8E_UNI</v>
      </c>
      <c r="D941" t="str">
        <v>Qty: "5×18 | 13 | 2" -&gt; "4×18 | 2 | 18 l 13"</v>
      </c>
    </row>
    <row r="942">
      <c r="A942" t="str">
        <v>2026-01-25T08:26:06.503Z</v>
      </c>
      <c r="B942" t="str">
        <v>EDIT ITEM</v>
      </c>
      <c r="C942" t="str">
        <v>LBL-OPCL24G_NS</v>
      </c>
      <c r="D942" t="str">
        <v>Qty: "14×48 | 46 | 5×48" -&gt; "15×48 | 4×48 l 46"</v>
      </c>
    </row>
    <row r="943">
      <c r="A943" t="str">
        <v>2026-01-25T08:25:30.533Z</v>
      </c>
      <c r="B943" t="str">
        <v>EDIT ITEM</v>
      </c>
      <c r="C943" t="str">
        <v>LBL-CRPUA85G8_NS</v>
      </c>
      <c r="D943" t="str">
        <v>Qty: "7×18 | 4" -&gt; "6×18 | 16 l 6"</v>
      </c>
    </row>
    <row r="944">
      <c r="A944" t="str">
        <v>2026-01-25T08:24:47.301Z</v>
      </c>
      <c r="B944" t="str">
        <v>EDIT ITEM</v>
      </c>
      <c r="C944" t="str">
        <v>BAG-B23X30.32W/HO</v>
      </c>
      <c r="D944" t="str">
        <v>Qty: "5×24000 | 9000 | 25800 | 13800 | 8100 | 15000 | 5100 | 10800" -&gt; "8×24000 | 20400"</v>
      </c>
    </row>
    <row r="945">
      <c r="A945" t="str">
        <v>2026-01-25T08:24:31.093Z</v>
      </c>
      <c r="B945" t="str">
        <v>EDIT ITEM</v>
      </c>
      <c r="C945" t="str">
        <v>BAG-B20.87X31.89FH</v>
      </c>
      <c r="D945" t="str">
        <v>Qty: "17700 | 24000" -&gt; "15600 l 2100 | 24000"</v>
      </c>
    </row>
    <row r="946">
      <c r="A946" t="str">
        <v>2026-01-25T08:24:08.406Z</v>
      </c>
      <c r="B946" t="str">
        <v>EDIT ITEM</v>
      </c>
      <c r="C946" t="str">
        <v>BAG-B18X30BPE</v>
      </c>
      <c r="D946" t="str">
        <v>Qty: "20×36000 | 14100 | 2×36000" -&gt; "19×36000 | 18900 l 1500 | 2×36000"</v>
      </c>
    </row>
    <row r="947">
      <c r="A947" t="str">
        <v>2026-01-25T08:23:26.309Z</v>
      </c>
      <c r="B947" t="str">
        <v>EDIT ITEM</v>
      </c>
      <c r="C947" t="str">
        <v>BAG-A26X32.50PE</v>
      </c>
      <c r="D947" t="str">
        <v>Qty: "13×24000 | 20900 | 14×24000 | 24300" -&gt; "13×24000 | 20900 | 14×24000 | 24300"</v>
      </c>
    </row>
    <row r="948">
      <c r="A948" t="str">
        <v>2026-01-25T08:23:05.942Z</v>
      </c>
      <c r="B948" t="str">
        <v>EDIT ITEM</v>
      </c>
      <c r="C948" t="str">
        <v>BAG-A19.5X35PE</v>
      </c>
      <c r="D948" t="str">
        <v>Qty: "8×24000 | 3750 | 8×24000 | 6000 | 3600" -&gt; "8×24000 | 13350 | 8×24000"</v>
      </c>
    </row>
    <row r="949">
      <c r="A949" t="str">
        <v>2026-01-25T07:37:49.480Z</v>
      </c>
      <c r="B949" t="str">
        <v>PRINT</v>
      </c>
      <c r="C949" t="str">
        <v>-</v>
      </c>
      <c r="D949" t="str">
        <v>Inventory count sheet printed.</v>
      </c>
    </row>
    <row r="950">
      <c r="A950" t="str">
        <v>2026-01-25T07:37:13.311Z</v>
      </c>
      <c r="B950" t="str">
        <v>EXPORT REPORT</v>
      </c>
      <c r="C950" t="str">
        <v>-</v>
      </c>
      <c r="D950" t="str">
        <v>Human-readable report exported.</v>
      </c>
    </row>
    <row r="951">
      <c r="A951" t="str">
        <v>2026-01-25T07:37:01.363Z</v>
      </c>
      <c r="B951" t="str">
        <v>BULK WITHDRAW</v>
      </c>
      <c r="C951" t="str">
        <v>9 items</v>
      </c>
      <c r="D951" t="str">
        <v>BAG-A26X32.50PE (-24,000), BAG-B18X30BPE (-36,000), BAG-B22.50X34PE (-15,000), LBL-4XBQL24G_NS (-22), LBL-CRPUA85G8_NS (-6), LBL-OPCL24G_NS (-48), LBL-PFKBM50EXP_NS (-12), LBL-SOPCUA90G8E_UNI (-6), LBL-SOPCUA90G8_NS (-12)</v>
      </c>
    </row>
    <row r="952">
      <c r="A952" t="str">
        <v>2026-01-24T21:27:13.288Z</v>
      </c>
      <c r="B952" t="str">
        <v>PRINT</v>
      </c>
      <c r="C952" t="str">
        <v>-</v>
      </c>
      <c r="D952" t="str">
        <v>Inventory count sheet printed.</v>
      </c>
    </row>
    <row r="953">
      <c r="A953" t="str">
        <v>2026-01-24T21:26:58.736Z</v>
      </c>
      <c r="B953" t="str">
        <v>PRINT</v>
      </c>
      <c r="C953" t="str">
        <v>-</v>
      </c>
      <c r="D953" t="str">
        <v>Inventory count sheet printed.</v>
      </c>
    </row>
    <row r="954">
      <c r="A954" t="str">
        <v>2026-01-24T21:24:47.712Z</v>
      </c>
      <c r="B954" t="str">
        <v>PRINT</v>
      </c>
      <c r="C954" t="str">
        <v>-</v>
      </c>
      <c r="D954" t="str">
        <v>Inventory count sheet printed.</v>
      </c>
    </row>
    <row r="955">
      <c r="A955" t="str">
        <v>2026-01-24T21:24:20.262Z</v>
      </c>
      <c r="B955" t="str">
        <v>EXPORT REPORT</v>
      </c>
      <c r="C955" t="str">
        <v>-</v>
      </c>
      <c r="D955" t="str">
        <v>Human-readable report exported.</v>
      </c>
    </row>
    <row r="956">
      <c r="A956" t="str">
        <v>2026-01-24T21:24:02.749Z</v>
      </c>
      <c r="B956" t="str">
        <v>BACKUP</v>
      </c>
      <c r="C956" t="str">
        <v>-</v>
      </c>
      <c r="D956" t="str">
        <v>Full inventory state backed up.</v>
      </c>
    </row>
    <row r="957">
      <c r="A957" t="str">
        <v>2026-01-24T21:23:30.398Z</v>
      </c>
      <c r="B957" t="str">
        <v>EDIT ITEM</v>
      </c>
      <c r="C957" t="str">
        <v>LBL-SOPCL24G_NS</v>
      </c>
      <c r="D957" t="str">
        <v>Qty: "4×48 | 10 | 9×48 | 40" -&gt; "4×48 | 10 | 9×48 | 50"</v>
      </c>
    </row>
    <row r="958">
      <c r="A958" t="str">
        <v>2026-01-24T21:23:15.783Z</v>
      </c>
      <c r="B958" t="str">
        <v>EDIT ITEM</v>
      </c>
      <c r="C958" t="str">
        <v>LBL-PFBM50G-H_NS</v>
      </c>
      <c r="D958" t="str">
        <v>Qty: "27 | 21 | 4×27 | 9 | 6×27 | 6" -&gt; "27 | 21 | 10×27 | 9 | 6"</v>
      </c>
    </row>
    <row r="959">
      <c r="A959" t="str">
        <v>2026-01-24T21:22:35.870Z</v>
      </c>
      <c r="B959" t="str">
        <v>EDIT ITEM</v>
      </c>
      <c r="C959" t="str">
        <v>BAG-B21.50X29PE</v>
      </c>
      <c r="D959" t="str">
        <v>Qty: "24×24000 | 24×24000 | 4500 | 24300 | 14100" -&gt; "23×24000 | 25×24000 | 4500 | 24300 | 14100"</v>
      </c>
    </row>
    <row r="960">
      <c r="A960" t="str">
        <v>2026-01-24T21:22:05.192Z</v>
      </c>
      <c r="B960" t="str">
        <v>EDIT ITEM</v>
      </c>
      <c r="C960" t="str">
        <v>BAG-A19.5X35PE</v>
      </c>
      <c r="D960" t="str">
        <v>Qty: "7×24000 | 3750 | 9×24000 | 6000 | 3600" -&gt; "8×24000 | 3750 | 8×24000 | 6000 | 3600"</v>
      </c>
    </row>
    <row r="961">
      <c r="A961" t="str">
        <v>2026-01-24T21:10:31.950Z</v>
      </c>
      <c r="B961" t="str">
        <v>EDIT ITEM</v>
      </c>
      <c r="C961" t="str">
        <v>LBL-SOPCUA90G8_NS</v>
      </c>
      <c r="D961" t="str">
        <v>Qty: "11×18 | 16" -&gt; "10×18 | 16"</v>
      </c>
    </row>
    <row r="962">
      <c r="A962" t="str">
        <v>2026-01-24T21:10:22.654Z</v>
      </c>
      <c r="B962" t="str">
        <v>EDIT ITEM</v>
      </c>
      <c r="C962" t="str">
        <v>LBL-SOPCUA90G8E_UNI</v>
      </c>
      <c r="D962" t="str">
        <v>Qty: "5×18 | 3" -&gt; "5×18 | 13 l 8"</v>
      </c>
    </row>
    <row r="963">
      <c r="A963" t="str">
        <v>2026-01-24T21:06:19.800Z</v>
      </c>
      <c r="B963" t="str">
        <v>BULK WITHDRAW</v>
      </c>
      <c r="C963" t="str">
        <v>10 items</v>
      </c>
      <c r="D963" t="str">
        <v>BAG-A19.5X35PE (-24,000), BAG-B21.50X29PE (-24,000), BAG-A22X30PEW/FLAP (-24,000), BAG-A25.5X32PE (-29,700), BAG-B8X11CKP-PP (-105,000), LBL-OORXS5G-E_NS (-48), LBL-PFKLB21G_NS (-68), LBL-SOPCF60GE_UNI (-17), LBL-SOPCF60GH_NS (-24), LBL-SOPCUA90G8E_UNI (-18)</v>
      </c>
    </row>
    <row r="964">
      <c r="A964" t="str">
        <v>2026-01-24T21:00:47.103Z</v>
      </c>
      <c r="B964" t="str">
        <v>DELIVERY</v>
      </c>
      <c r="C964" t="str">
        <v>LBL-PFBM50G-H_NS</v>
      </c>
      <c r="D964" t="str">
        <v>+168 pcs. (Breakdown: 6×27 | 6)</v>
      </c>
    </row>
    <row r="965">
      <c r="A965" t="str">
        <v>2026-01-24T21:00:03.911Z</v>
      </c>
      <c r="B965" t="str">
        <v>DELIVERY</v>
      </c>
      <c r="C965" t="str">
        <v>LBL-OSHKBH65_NS</v>
      </c>
      <c r="D965" t="str">
        <v>+38 pcs. (Breakdown: 18 | 20)</v>
      </c>
    </row>
    <row r="966">
      <c r="A966" t="str">
        <v>2026-01-24T20:58:26.134Z</v>
      </c>
      <c r="B966" t="str">
        <v>EDIT ITEM</v>
      </c>
      <c r="C966" t="str">
        <v>LBL-SSCUA90G8_NS</v>
      </c>
      <c r="D966" t="str">
        <v>Qty: "18 | 14 | 13" -&gt; "2x18 | 9"</v>
      </c>
    </row>
    <row r="967">
      <c r="A967" t="str">
        <v>2026-01-24T20:58:04.879Z</v>
      </c>
      <c r="B967" t="str">
        <v>EDIT ITEM</v>
      </c>
      <c r="C967" t="str">
        <v>LBL-SOPCUA90G8_NS</v>
      </c>
      <c r="D967" t="str">
        <v>Qty: "11×18 | 6 | 10" -&gt; "11×18 | 16"</v>
      </c>
    </row>
    <row r="968">
      <c r="A968" t="str">
        <v>2026-01-24T20:57:44.342Z</v>
      </c>
      <c r="B968" t="str">
        <v>EDIT ITEM</v>
      </c>
      <c r="C968" t="str">
        <v>LBL-SOPCL24G_NS</v>
      </c>
      <c r="D968" t="str">
        <v>Qty: "4×48 | 10 l 9×48 | 40" -&gt; "4×48 | 10 | 9×48 | 40"</v>
      </c>
    </row>
    <row r="969">
      <c r="A969" t="str">
        <v>2026-01-24T20:57:37.680Z</v>
      </c>
      <c r="B969" t="str">
        <v>EDIT ITEM</v>
      </c>
      <c r="C969" t="str">
        <v>LBL-SOPCL24G_NS</v>
      </c>
      <c r="D969" t="str">
        <v>Qty: "3×48 | 18 | 50 | 10×48 | 40" -&gt; "4×48 | 10 l 9×48 | 40"</v>
      </c>
    </row>
    <row r="970">
      <c r="A970" t="str">
        <v>2026-01-24T20:57:08.446Z</v>
      </c>
      <c r="B970" t="str">
        <v>EDIT ITEM</v>
      </c>
      <c r="C970" t="str">
        <v>LBL-SOPCF60GH_NS</v>
      </c>
      <c r="D970" t="str">
        <v>Qty: "7×36 | 4 | 26" -&gt; "7×36 | 30"</v>
      </c>
    </row>
    <row r="971">
      <c r="A971" t="str">
        <v>2026-01-24T20:56:50.487Z</v>
      </c>
      <c r="B971" t="str">
        <v>EDIT ITEM</v>
      </c>
      <c r="C971" t="str">
        <v>LBL-SKYFL20G_NS</v>
      </c>
      <c r="D971" t="str">
        <v>Qty: "3×48 | 18 | 29" -&gt; "3×48 | 47"</v>
      </c>
    </row>
    <row r="972">
      <c r="A972" t="str">
        <v>2026-01-24T20:56:36.472Z</v>
      </c>
      <c r="B972" t="str">
        <v>EDIT ITEM</v>
      </c>
      <c r="C972" t="str">
        <v>LBL-RCUA90G-8_NS</v>
      </c>
      <c r="D972" t="str">
        <v>Qty: "8×18 | 5" -&gt; "7×18 | 5 l 18"</v>
      </c>
    </row>
    <row r="973">
      <c r="A973" t="str">
        <v>2026-01-24T20:56:06.406Z</v>
      </c>
      <c r="B973" t="str">
        <v>EDIT ITEM</v>
      </c>
      <c r="C973" t="str">
        <v>LBL-PFUA90G-8_NS</v>
      </c>
      <c r="D973" t="str">
        <v>Qty: "9×18 | 3×18 | 12 l 10 | 5×18 | 13" -&gt; "14×18 | 3×18 | 12 | 10 | 13"</v>
      </c>
    </row>
    <row r="974">
      <c r="A974" t="str">
        <v>2026-01-24T20:55:35.280Z</v>
      </c>
      <c r="B974" t="str">
        <v>EDIT ITEM</v>
      </c>
      <c r="C974" t="str">
        <v>LBL-PFBQBM50G_NS</v>
      </c>
      <c r="D974" t="str">
        <v>Qty: "27 | 26" -&gt; "22 | 12"</v>
      </c>
    </row>
    <row r="975">
      <c r="A975" t="str">
        <v>2026-01-24T20:54:56.910Z</v>
      </c>
      <c r="B975" t="str">
        <v>EDIT ITEM</v>
      </c>
      <c r="C975" t="str">
        <v>LBL-OPCL24G_NS</v>
      </c>
      <c r="D975" t="str">
        <v>Qty: "14×48 | 40 | 1 | 5×48 | 53" -&gt; "15×48 | 46 | 5×48 "</v>
      </c>
    </row>
    <row r="976">
      <c r="A976" t="str">
        <v>2026-01-24T20:54:30.398Z</v>
      </c>
      <c r="B976" t="str">
        <v>EDIT ITEM</v>
      </c>
      <c r="C976" t="str">
        <v>LBL-OORUA75G</v>
      </c>
      <c r="D976" t="str">
        <v>Qty: "6×18 | 6×18 | 1" -&gt; "9×18 | 6×18 | 1 l 14"</v>
      </c>
    </row>
    <row r="977">
      <c r="A977" t="str">
        <v>2026-01-24T20:53:47.750Z</v>
      </c>
      <c r="B977" t="str">
        <v>EDIT ITEM</v>
      </c>
      <c r="C977" t="str">
        <v>LBL-OFKBA80G-800</v>
      </c>
      <c r="D977" t="str">
        <v>Qty: "6×18 | 9 | 13×18" -&gt; "6×18 | 14 | 12×18 l 13"</v>
      </c>
    </row>
    <row r="978">
      <c r="A978" t="str">
        <v>2026-01-24T20:53:04.343Z</v>
      </c>
      <c r="B978" t="str">
        <v>EDIT ITEM</v>
      </c>
      <c r="C978" t="str">
        <v>LBL-OFCL24G-VL-ND</v>
      </c>
      <c r="D978" t="str">
        <v>Qty: "17×48 | 18×48 | 11 | 20" -&gt; "17×48 | 19×48 | 11 | 21"</v>
      </c>
    </row>
    <row r="979">
      <c r="A979" t="str">
        <v>2026-01-24T20:52:42.574Z</v>
      </c>
      <c r="B979" t="str">
        <v>EDIT ITEM</v>
      </c>
      <c r="C979" t="str">
        <v>LBL-EHOPCL24G_NS</v>
      </c>
      <c r="D979" t="str">
        <v>Qty: "5×48 | 25×48 | 4 | 2×48 | 26" -&gt; "5×48 | 27×48 | 50 | 24 |4"</v>
      </c>
    </row>
    <row r="980">
      <c r="A980" t="str">
        <v>2026-01-24T20:50:53.006Z</v>
      </c>
      <c r="B980" t="str">
        <v>EDIT ITEM</v>
      </c>
      <c r="C980" t="str">
        <v>LBL-CRPUA85G8_NS</v>
      </c>
      <c r="D980" t="str">
        <v>Qty: "6×18 | 17 | 6 | 5" -&gt; "7×18 | 10"</v>
      </c>
    </row>
    <row r="981">
      <c r="A981" t="str">
        <v>2026-01-24T20:50:18.968Z</v>
      </c>
      <c r="B981" t="str">
        <v>EDIT ITEM</v>
      </c>
      <c r="C981" t="str">
        <v>LBL-CRPL24G-VL-ND</v>
      </c>
      <c r="D981" t="str">
        <v>Qty: "9×48 | 13 | 20×48 | 9 | 19×48 | 1" -&gt; "14×48 | 13 | 20×48 | 9 | 19×48 "</v>
      </c>
    </row>
    <row r="982">
      <c r="A982" t="str">
        <v>2026-01-24T20:49:13.431Z</v>
      </c>
      <c r="B982" t="str">
        <v>EDIT ITEM</v>
      </c>
      <c r="C982" t="str">
        <v>BAG-B23X30.32W/HO</v>
      </c>
      <c r="D982" t="str">
        <v>Qty: "3×24000 | 10800 | 25800 | 13800 | 8100 l 13800 l 5400 | 2×24000 | 14700" -&gt; "5×24000 | 9000 | 25800 | 13800 | 8100 | 15000 | 5100 | 10800"</v>
      </c>
    </row>
    <row r="983">
      <c r="A983" t="str">
        <v>2026-01-24T20:47:57.366Z</v>
      </c>
      <c r="B983" t="str">
        <v>EDIT ITEM</v>
      </c>
      <c r="C983" t="str">
        <v>BAG-B18X30BPE</v>
      </c>
      <c r="D983" t="str">
        <v>Qty: "14×36000 | 29100 | 12000 | 29400 | 2×36000 | 39000 | 3×36000 | 19200" -&gt; "20×36000 | 19200 | 1500 | 29400 | 2×36000 "</v>
      </c>
    </row>
    <row r="984">
      <c r="A984" t="str">
        <v>2026-01-24T20:46:56.758Z</v>
      </c>
      <c r="B984" t="str">
        <v>EDIT ITEM</v>
      </c>
      <c r="C984" t="str">
        <v>BAG-B22.50X34PE</v>
      </c>
      <c r="D984" t="str">
        <v>Qty: "3×24000 | 9000 | 6000 | 8×24000" -&gt; "3×24000 | 15000 | 8×24000"</v>
      </c>
    </row>
    <row r="985">
      <c r="A985" t="str">
        <v>2026-01-24T20:46:36.486Z</v>
      </c>
      <c r="B985" t="str">
        <v>EDIT ITEM</v>
      </c>
      <c r="C985" t="str">
        <v>BAG-B21.50X29PE</v>
      </c>
      <c r="D985" t="str">
        <v>Qty: "22×24000 | 22×24000 | 4500 | 9600 | 20700 | 2100 | 25200 | 24000 | 4500 | 2×24000 | 24300" -&gt; "25×24000 | 24×24000 | 4500 | 24300 | 14100"</v>
      </c>
    </row>
    <row r="986">
      <c r="A986" t="str">
        <v>2026-01-24T20:45:08.952Z</v>
      </c>
      <c r="B986" t="str">
        <v>EDIT ITEM</v>
      </c>
      <c r="C986" t="str">
        <v>BAG-B17.5X34PE</v>
      </c>
      <c r="D986" t="str">
        <v>Qty: "3×30000 | 4x24000 l 28500 | 5700 | 3300 | 2100" -&gt; "4×30000 | 4×24000 | 9600"</v>
      </c>
    </row>
    <row r="987">
      <c r="A987" t="str">
        <v>2026-01-24T20:44:31.694Z</v>
      </c>
      <c r="B987" t="str">
        <v>EDIT ITEM</v>
      </c>
      <c r="C987" t="str">
        <v>BAG-A26X45HD</v>
      </c>
      <c r="D987" t="str">
        <v>Qty: "9600 | 2×19200 | 2×19200 | 2×24000 | 17400 | 6600 | 16800 | 7800" -&gt; "4×19200 | 2×19200 | 2×24000 | 13200 | 6600 "</v>
      </c>
    </row>
    <row r="988">
      <c r="A988" t="str">
        <v>2026-01-24T20:43:23.622Z</v>
      </c>
      <c r="B988" t="str">
        <v>EDIT ITEM</v>
      </c>
      <c r="C988" t="str">
        <v>BAG-A26X32.50PE</v>
      </c>
      <c r="D988" t="str">
        <v>Qty: "13×24000 | 18300 | 15800 | 16500 | 12×24000 | 14100 | 4200 | 24000 | 24300" -&gt; "14×24000 | 20900 | 14×24000 | 24300"</v>
      </c>
    </row>
    <row r="989">
      <c r="A989" t="str">
        <v>2026-01-24T20:42:16.623Z</v>
      </c>
      <c r="B989" t="str">
        <v>EDIT ITEM</v>
      </c>
      <c r="C989" t="str">
        <v>BAG-A26.5X37.5PE</v>
      </c>
      <c r="D989" t="str">
        <v>Qty: "11×24000 | 6000 | 5×24000 | 3900" -&gt; "16×24000 | 6000 | 3900"</v>
      </c>
    </row>
    <row r="990">
      <c r="A990" t="str">
        <v>2026-01-24T20:41:16.279Z</v>
      </c>
      <c r="B990" t="str">
        <v>EDIT ITEM</v>
      </c>
      <c r="C990" t="str">
        <v>BAG-A22X30PEW/FLAP</v>
      </c>
      <c r="D990" t="str">
        <v>Qty: "20400 | 2x24000 | 9000 | 24000 | 20700" -&gt; "4×24000 | 21300 | 4800"</v>
      </c>
    </row>
    <row r="991">
      <c r="A991" t="str">
        <v>2026-01-24T20:39:12.111Z</v>
      </c>
      <c r="B991" t="str">
        <v>EDIT ITEM</v>
      </c>
      <c r="C991" t="str">
        <v>BAG-A19.5X35PE</v>
      </c>
      <c r="D991" t="str">
        <v>Qty: "8×24000 | 3750 | 9×24000 | 6000" -&gt; "8×24000 | 3750 | 9×24000 | 6000 l 3600"</v>
      </c>
    </row>
    <row r="992">
      <c r="A992" t="str">
        <v>2026-01-24T09:30:09.492Z</v>
      </c>
      <c r="B992" t="str">
        <v>PRINT</v>
      </c>
      <c r="C992" t="str">
        <v>-</v>
      </c>
      <c r="D992" t="str">
        <v>Inventory count sheet printed.</v>
      </c>
    </row>
    <row r="993">
      <c r="A993" t="str">
        <v>2026-01-24T09:29:54.670Z</v>
      </c>
      <c r="B993" t="str">
        <v>PRINT</v>
      </c>
      <c r="C993" t="str">
        <v>-</v>
      </c>
      <c r="D993" t="str">
        <v>Inventory count sheet printed.</v>
      </c>
    </row>
    <row r="994">
      <c r="A994" t="str">
        <v>2026-01-24T09:26:58.566Z</v>
      </c>
      <c r="B994" t="str">
        <v>PRINT</v>
      </c>
      <c r="C994" t="str">
        <v>-</v>
      </c>
      <c r="D994" t="str">
        <v>Inventory count sheet printed.</v>
      </c>
    </row>
    <row r="995">
      <c r="A995" t="str">
        <v>2026-01-24T09:26:03.866Z</v>
      </c>
      <c r="B995" t="str">
        <v>BULK WITHDRAW</v>
      </c>
      <c r="C995" t="str">
        <v>4 items</v>
      </c>
      <c r="D995" t="str">
        <v>LBL-MIGCHUA105G (-18), LBL-OORUA75G (-18), LBL-OPCUA90G8E_UNI (-28), LBL-RCUA90G-8_NS (-25)</v>
      </c>
    </row>
    <row r="996">
      <c r="A996" t="str">
        <v>2026-01-24T09:25:05.168Z</v>
      </c>
      <c r="B996" t="str">
        <v>DELIVERY (BULK)</v>
      </c>
      <c r="C996" t="str">
        <v>LBL-COCL22G_NS</v>
      </c>
      <c r="D996" t="str">
        <v>+240 pcs</v>
      </c>
    </row>
    <row r="997">
      <c r="A997" t="str">
        <v>2026-01-24T07:47:49.069Z</v>
      </c>
      <c r="B997" t="str">
        <v>PRINT</v>
      </c>
      <c r="C997" t="str">
        <v>-</v>
      </c>
      <c r="D997" t="str">
        <v>Inventory count sheet printed.</v>
      </c>
    </row>
    <row r="998">
      <c r="A998" t="str">
        <v>2026-01-24T07:45:13.902Z</v>
      </c>
      <c r="B998" t="str">
        <v>PRINT</v>
      </c>
      <c r="C998" t="str">
        <v>-</v>
      </c>
      <c r="D998" t="str">
        <v>Inventory count sheet printed.</v>
      </c>
    </row>
    <row r="999">
      <c r="A999" t="str">
        <v>2026-01-24T07:29:42.919Z</v>
      </c>
      <c r="B999" t="str">
        <v>BULK WITHDRAW</v>
      </c>
      <c r="C999" t="str">
        <v>3 items</v>
      </c>
      <c r="D999" t="str">
        <v>LBL-OFKBA80G-800 (-5), LBL-SOPCF60GH_NS (-14), LBL-CRPL24G-VL-ND (-240)</v>
      </c>
    </row>
    <row r="1000">
      <c r="A1000" t="str">
        <v>2026-01-24T07:28:12.961Z</v>
      </c>
      <c r="B1000" t="str">
        <v>BULK WITHDRAW</v>
      </c>
      <c r="C1000" t="str">
        <v>15 items</v>
      </c>
      <c r="D1000" t="str">
        <v>LBL-CRPUA85G8_NS (-37), LBL-KYFL20G_NS (-10), LBL-SKYFL20G_NS (-30), LBL-MIGCHUA105G (-26), LBL-OORL16G_NS (-49), LBL-PFBM50G-H_NS (-5), LBL-PFCUA90G-8_NS (-5), LBL-PTCTAJA85G_NS (-2), LBL-RCSL24G_NS (-144), LBL-RCSUA85G8_NS (-18), LBL-SOPCL24G_NS (-192), LBL-SSCL24G_NS (-48), LBL-SSCUA90G8_NS (-22), LBL-OFCL24G-VL-ND (-48), LBL-CRPL24G-VL-ND (-48)</v>
      </c>
    </row>
    <row r="1001">
      <c r="A1001" t="str">
        <v>2026-01-24T07:25:12.602Z</v>
      </c>
      <c r="B1001" t="str">
        <v>EDIT ITEM</v>
      </c>
      <c r="C1001" t="str">
        <v>LBL-MIGCHUA105G</v>
      </c>
      <c r="D1001" t="str">
        <v>Qty: "5×18 | 8 | 18" -&gt; "5×18 | 8 | 18"</v>
      </c>
    </row>
    <row r="1002">
      <c r="A1002" t="str">
        <v>2026-01-24T07:21:40.388Z</v>
      </c>
      <c r="B1002" t="str">
        <v>BULK WITHDRAW</v>
      </c>
      <c r="C1002" t="str">
        <v>4 items</v>
      </c>
      <c r="D1002" t="str">
        <v>LBL-MIGCHL28G_NS (-22), LBL-OPCL24G_NS (-56), LBL-PFLB21G_NS (-27), LBL-SOPCL24G_NS (-12)</v>
      </c>
    </row>
    <row r="1003">
      <c r="A1003" t="str">
        <v>2026-01-24T07:19:54.693Z</v>
      </c>
      <c r="B1003" t="str">
        <v>BULK WITHDRAW</v>
      </c>
      <c r="C1003" t="str">
        <v>4 items</v>
      </c>
      <c r="D1003" t="str">
        <v>LBL-OPCUA90G8E_UNI (-8), LBL-SOPCF60GE_UNI (-18), LBL-SOPCL24G_NS (-36), LBL-SOPCUA90G8_NS (-18)</v>
      </c>
    </row>
    <row r="1004">
      <c r="A1004" t="str">
        <v>2026-01-24T07:19:07.988Z</v>
      </c>
      <c r="B1004" t="str">
        <v>BULK WITHDRAW</v>
      </c>
      <c r="C1004" t="str">
        <v>13 items</v>
      </c>
      <c r="D1004" t="str">
        <v>BAG-B21.50X29PE (-24,000), BAG-A26X32.50PE (-24,000), BAG-A26.5X37.5PE (-24,000), BAG-A27X37.50PE (-7,500), BAG-B20.87X31.89FH (-24,000), BAG-B22.50X34PE (-15,000), LBL-CRPUA85G8_NS (-30), LBL-EHOPCL24G_NS (-48), LBL-OORUA75G (-27), LBL-PTCBQJA85G_NS (-5), LBL-SOPCL24G_NS (-52), LBL-SOPCUA90G8_NS (-12), LBL-CRPL24G-VL-ND (-48)</v>
      </c>
    </row>
    <row r="1005">
      <c r="A1005" t="str">
        <v>2026-01-24T07:15:40.562Z</v>
      </c>
      <c r="B1005" t="str">
        <v>DELIVERY (BULK)</v>
      </c>
      <c r="C1005" t="str">
        <v>BAG-A23X42PE-G</v>
      </c>
      <c r="D1005" t="str">
        <v>+31,200 pcs</v>
      </c>
    </row>
    <row r="1006">
      <c r="A1006" t="str">
        <v>2026-01-24T07:15:40.538Z</v>
      </c>
      <c r="B1006" t="str">
        <v>DELIVERY (BULK)</v>
      </c>
      <c r="C1006" t="str">
        <v>BAG-B21.50X29PE</v>
      </c>
      <c r="D1006" t="str">
        <v>+72,300 pcs</v>
      </c>
    </row>
    <row r="1007">
      <c r="A1007" t="str">
        <v>2026-01-24T07:15:40.514Z</v>
      </c>
      <c r="B1007" t="str">
        <v>DELIVERY (BULK)</v>
      </c>
      <c r="C1007" t="str">
        <v>BAG-A26X32.50PE</v>
      </c>
      <c r="D1007" t="str">
        <v>+48,300 pcs</v>
      </c>
    </row>
    <row r="1008">
      <c r="A1008" t="str">
        <v>2026-01-24T07:15:40.491Z</v>
      </c>
      <c r="B1008" t="str">
        <v>DELIVERY (BULK)</v>
      </c>
      <c r="C1008" t="str">
        <v>BAG-A25.5X32PE</v>
      </c>
      <c r="D1008" t="str">
        <v>+31,200 pcs</v>
      </c>
    </row>
    <row r="1009">
      <c r="A1009" t="str">
        <v>2026-01-24T07:15:40.469Z</v>
      </c>
      <c r="B1009" t="str">
        <v>DELIVERY (BULK)</v>
      </c>
      <c r="C1009" t="str">
        <v>BAG-B18X30BPE</v>
      </c>
      <c r="D1009" t="str">
        <v>+127,200 pcs</v>
      </c>
    </row>
    <row r="1010">
      <c r="A1010" t="str">
        <v>2026-01-24T07:15:40.446Z</v>
      </c>
      <c r="B1010" t="str">
        <v>DELIVERY (BULK)</v>
      </c>
      <c r="C1010" t="str">
        <v>BAG-A22.50X39PE</v>
      </c>
      <c r="D1010" t="str">
        <v>+129,300 pcs</v>
      </c>
    </row>
    <row r="1011">
      <c r="A1011" t="str">
        <v>2026-01-24T07:12:53.164Z</v>
      </c>
      <c r="B1011" t="str">
        <v>DELIVERY (BULK)</v>
      </c>
      <c r="C1011" t="str">
        <v>BAG-B21.50X29PE</v>
      </c>
      <c r="D1011" t="str">
        <v>+28,500 pcs</v>
      </c>
    </row>
    <row r="1012">
      <c r="A1012" t="str">
        <v>2026-01-24T07:12:53.142Z</v>
      </c>
      <c r="B1012" t="str">
        <v>DELIVERY (BULK)</v>
      </c>
      <c r="C1012" t="str">
        <v>BAG-A22X30PEW/FLAP</v>
      </c>
      <c r="D1012" t="str">
        <v>+44,700 pcs</v>
      </c>
    </row>
    <row r="1013">
      <c r="A1013" t="str">
        <v>2026-01-24T07:12:53.118Z</v>
      </c>
      <c r="B1013" t="str">
        <v>DELIVERY (BULK)</v>
      </c>
      <c r="C1013" t="str">
        <v>BAG-B23X30.32W/HO</v>
      </c>
      <c r="D1013" t="str">
        <v>+62,700 pcs</v>
      </c>
    </row>
    <row r="1014">
      <c r="A1014" t="str">
        <v>2026-01-24T07:11:26.727Z</v>
      </c>
      <c r="B1014" t="str">
        <v>DELIVERY (BULK)</v>
      </c>
      <c r="C1014" t="str">
        <v>LBL-PFBM50G-H_NS</v>
      </c>
      <c r="D1014" t="str">
        <v>+117 pcs</v>
      </c>
    </row>
    <row r="1015">
      <c r="A1015" t="str">
        <v>2026-01-24T07:11:26.696Z</v>
      </c>
      <c r="B1015" t="str">
        <v>DELIVERY (BULK)</v>
      </c>
      <c r="C1015" t="str">
        <v>LBL-PFUA90G-8_NS</v>
      </c>
      <c r="D1015" t="str">
        <v>+103 pcs</v>
      </c>
    </row>
    <row r="1016">
      <c r="A1016" t="str">
        <v>2026-01-24T07:11:26.673Z</v>
      </c>
      <c r="B1016" t="str">
        <v>DELIVERY (BULK)</v>
      </c>
      <c r="C1016" t="str">
        <v>LBL-OFCUA90G8_NS</v>
      </c>
      <c r="D1016" t="str">
        <v>+152 pcs</v>
      </c>
    </row>
    <row r="1017">
      <c r="A1017" t="str">
        <v>2026-01-24T07:11:26.651Z</v>
      </c>
      <c r="B1017" t="str">
        <v>DELIVERY (BULK)</v>
      </c>
      <c r="C1017" t="str">
        <v>LBL-SKYFL20G_NS</v>
      </c>
      <c r="D1017" t="str">
        <v>+221 pcs</v>
      </c>
    </row>
    <row r="1018">
      <c r="A1018" t="str">
        <v>2026-01-24T07:11:26.630Z</v>
      </c>
      <c r="B1018" t="str">
        <v>DELIVERY (BULK)</v>
      </c>
      <c r="C1018" t="str">
        <v>LBL-EHOPCL24G_NS</v>
      </c>
      <c r="D1018" t="str">
        <v>+122 pcs</v>
      </c>
    </row>
    <row r="1019">
      <c r="A1019" t="str">
        <v>2026-01-24T07:11:26.607Z</v>
      </c>
      <c r="B1019" t="str">
        <v>DELIVERY (BULK)</v>
      </c>
      <c r="C1019" t="str">
        <v>LBL-MIGSWCL28G_NS</v>
      </c>
      <c r="D1019" t="str">
        <v>+28 pcs</v>
      </c>
    </row>
    <row r="1020">
      <c r="A1020" t="str">
        <v>2026-01-22T21:58:02.848Z</v>
      </c>
      <c r="B1020" t="str">
        <v>PRINT</v>
      </c>
      <c r="C1020" t="str">
        <v>-</v>
      </c>
      <c r="D1020" t="str">
        <v>Inventory count sheet printed.</v>
      </c>
    </row>
    <row r="1021">
      <c r="A1021" t="str">
        <v>2026-01-22T21:57:32.461Z</v>
      </c>
      <c r="B1021" t="str">
        <v>PRINT</v>
      </c>
      <c r="C1021" t="str">
        <v>-</v>
      </c>
      <c r="D1021" t="str">
        <v>Inventory count sheet printed.</v>
      </c>
    </row>
    <row r="1022">
      <c r="A1022" t="str">
        <v>2026-01-22T21:57:08.664Z</v>
      </c>
      <c r="B1022" t="str">
        <v>EXPORT REPORT</v>
      </c>
      <c r="C1022" t="str">
        <v>-</v>
      </c>
      <c r="D1022" t="str">
        <v>Human-readable report exported.</v>
      </c>
    </row>
    <row r="1023">
      <c r="A1023" t="str">
        <v>2026-01-22T21:57:05.247Z</v>
      </c>
      <c r="B1023" t="str">
        <v>BACKUP</v>
      </c>
      <c r="C1023" t="str">
        <v>-</v>
      </c>
      <c r="D1023" t="str">
        <v>Full inventory state backed up.</v>
      </c>
    </row>
    <row r="1024">
      <c r="A1024" t="str">
        <v>2026-01-22T21:56:53.833Z</v>
      </c>
      <c r="B1024" t="str">
        <v>EXPORT REPORT</v>
      </c>
      <c r="C1024" t="str">
        <v>-</v>
      </c>
      <c r="D1024" t="str">
        <v>Human-readable report exported.</v>
      </c>
    </row>
    <row r="1025">
      <c r="A1025" t="str">
        <v>2026-01-22T21:56:45.808Z</v>
      </c>
      <c r="B1025" t="str">
        <v>BACKUP</v>
      </c>
      <c r="C1025" t="str">
        <v>-</v>
      </c>
      <c r="D1025" t="str">
        <v>Full inventory state backed up.</v>
      </c>
    </row>
    <row r="1026">
      <c r="A1026" t="str">
        <v>2026-01-22T21:56:06.851Z</v>
      </c>
      <c r="B1026" t="str">
        <v>EDIT ITEM</v>
      </c>
      <c r="C1026" t="str">
        <v>LBL-OORUA75G</v>
      </c>
      <c r="D1026" t="str">
        <v>Qty: "18 | 6×18 | 7×18 | 6 | 22" -&gt; "6×18 | 7×18 | 6 | 22"</v>
      </c>
    </row>
    <row r="1027">
      <c r="A1027" t="str">
        <v>2026-01-22T21:55:33.267Z</v>
      </c>
      <c r="B1027" t="str">
        <v>EDIT ITEM</v>
      </c>
      <c r="C1027" t="str">
        <v>BAG-B23X30.32W/HO</v>
      </c>
      <c r="D1027" t="str">
        <v>Qty: "3×24000 | 20700 | 9000 | 24000 | 13800" -&gt; "3×24000 | 10800 | 25800 | 13800 | 8100 l 13800 l 5400"</v>
      </c>
    </row>
    <row r="1028">
      <c r="A1028" t="str">
        <v>2026-01-22T21:54:05.700Z</v>
      </c>
      <c r="B1028" t="str">
        <v>EDIT ITEM</v>
      </c>
      <c r="C1028" t="str">
        <v>BAG-B21.50X29PE</v>
      </c>
      <c r="D1028" t="str">
        <v>Qty: "23×24000 | 18×24000 | 4500 | 9600 | 20700 | 21000 | 4×24000 | 25200" -&gt; "23×24000 | 22×24000 | 4500 | 9600 | 20700 | 2100 | 25200"</v>
      </c>
    </row>
    <row r="1029">
      <c r="A1029" t="str">
        <v>2026-01-22T21:53:05.811Z</v>
      </c>
      <c r="B1029" t="str">
        <v>EDIT ITEM</v>
      </c>
      <c r="C1029" t="str">
        <v>BAG-A26X45HD</v>
      </c>
      <c r="D1029" t="str">
        <v>Qty: "9600 | 2x19200 l 2x19200 l 2×24000 | 17400 | 6600 | 16800 | 7800" -&gt; "9600 | 2×19200 | 2×19200 | 2×24000 | 17400 | 6600 | 16800 | 7800"</v>
      </c>
    </row>
    <row r="1030">
      <c r="A1030" t="str">
        <v>2026-01-22T21:52:51.323Z</v>
      </c>
      <c r="B1030" t="str">
        <v>EDIT ITEM</v>
      </c>
      <c r="C1030" t="str">
        <v>BAG-A26X45HD</v>
      </c>
      <c r="D1030" t="str">
        <v>Qty: "19200 | 9600 | 2×24000 | 17400 | 6600 | 19200 | 16800 | 19200 | 7800" -&gt; "9600 | 2x19200 l 2x19200 l 2×24000 | 17400 | 6600 | 16800 | 7800"</v>
      </c>
    </row>
    <row r="1031">
      <c r="A1031" t="str">
        <v>2026-01-22T21:50:39.427Z</v>
      </c>
      <c r="B1031" t="str">
        <v>EDIT ITEM</v>
      </c>
      <c r="C1031" t="str">
        <v>BAG-A22X30PEW/FLAP</v>
      </c>
      <c r="D1031" t="str">
        <v>Qty: "20400 | 24000 | 24000 | 9000" -&gt; "20400 | 2x24000 | 9000"</v>
      </c>
    </row>
    <row r="1032">
      <c r="A1032" t="str">
        <v>2026-01-22T21:50:11.747Z</v>
      </c>
      <c r="B1032" t="str">
        <v>EDIT ITEM</v>
      </c>
      <c r="C1032" t="str">
        <v>BAG-A20.5X45PE</v>
      </c>
      <c r="D1032" t="str">
        <v>Qty: "2×24000 | 2×24000 | 24000 | 3600" -&gt; "4×24000 | 24000 | 3600"</v>
      </c>
    </row>
    <row r="1033">
      <c r="A1033" t="str">
        <v>2026-01-22T21:15:51.939Z</v>
      </c>
      <c r="B1033" t="str">
        <v>EDIT ITEM</v>
      </c>
      <c r="C1033" t="str">
        <v>BAG-B21.50X29PE</v>
      </c>
      <c r="D1033" t="str">
        <v>Qty: "23×24000 | 18×24000 | 4500 | 9600 | 20700 | 2100 | 4×24000 | 25200" -&gt; "23×24000 | 18×24000 | 4500 | 9600 | 20700 | 21000 | 4×24000 | 25200"</v>
      </c>
    </row>
    <row r="1034">
      <c r="A1034" t="str">
        <v>2026-01-22T21:13:31.115Z</v>
      </c>
      <c r="B1034" t="str">
        <v>EDIT ITEM</v>
      </c>
      <c r="C1034" t="str">
        <v>BAG-A26X45HD</v>
      </c>
      <c r="D1034" t="str">
        <v>Qty: "19200 | 10200 | 2×24000 | 17400 | 6600 | 18600 | 19200 | 16800 | 19200 | 7800" -&gt; "19200 | 9600 | 2×24000 | 17400 | 6600 | 19200 | 16800 | 19200 | 7800"</v>
      </c>
    </row>
    <row r="1035">
      <c r="A1035" t="str">
        <v>2026-01-22T21:06:48.332Z</v>
      </c>
      <c r="B1035" t="str">
        <v>BULK WITHDRAW</v>
      </c>
      <c r="C1035" t="str">
        <v>1 items</v>
      </c>
      <c r="D1035" t="str">
        <v>BAG-A20.5X45PE (-25,500)</v>
      </c>
    </row>
    <row r="1036">
      <c r="A1036" t="str">
        <v>2026-01-22T21:06:23.434Z</v>
      </c>
      <c r="B1036" t="str">
        <v>EDIT ITEM</v>
      </c>
      <c r="C1036" t="str">
        <v>BAG-A20.5X45PE</v>
      </c>
      <c r="D1036" t="str">
        <v>Qty: "2×24000 | 3900 | 2×24000 | 21600 | 24000 | 3600" -&gt; "2×24000 | 3900 | 2×24000 | 21600 | 24000 | 3600"</v>
      </c>
    </row>
    <row r="1037">
      <c r="A1037" t="str">
        <v>2026-01-22T21:05:56.558Z</v>
      </c>
      <c r="B1037" t="str">
        <v>BULK WITHDRAW</v>
      </c>
      <c r="C1037" t="str">
        <v>9 items</v>
      </c>
      <c r="D1037" t="str">
        <v>BAG-B21.50X29PE (-24,000), BAG-B23X30.32W/HO (-24,000), BAG-A26X32.50PE (-24,000), LBL-EHOPCL24G_NS (-48), LBL-HEXOMF28G (-76), LBL-OORUA75G (-18), LBL-PTCCHDC32G_NS (-37), LBL-SOPCL24G_NS (-48), LBL-CRPL24G-VL-ND (-48)</v>
      </c>
    </row>
    <row r="1038">
      <c r="A1038" t="str">
        <v>2026-01-22T21:02:51.393Z</v>
      </c>
      <c r="B1038" t="str">
        <v>DELIVERY (BULK)</v>
      </c>
      <c r="C1038" t="str">
        <v>BAG-B20.87X31.89FH</v>
      </c>
      <c r="D1038" t="str">
        <v>+15,600 pcs</v>
      </c>
    </row>
    <row r="1039">
      <c r="A1039" t="str">
        <v>2026-01-22T21:02:51.370Z</v>
      </c>
      <c r="B1039" t="str">
        <v>DELIVERY (BULK)</v>
      </c>
      <c r="C1039" t="str">
        <v>BAG-A22X30PEW/FLAP</v>
      </c>
      <c r="D1039" t="str">
        <v>+33,000 pcs</v>
      </c>
    </row>
    <row r="1040">
      <c r="A1040" t="str">
        <v>2026-01-22T21:02:51.349Z</v>
      </c>
      <c r="B1040" t="str">
        <v>DELIVERY (BULK)</v>
      </c>
      <c r="C1040" t="str">
        <v>BAG-B23X30.32W/HO</v>
      </c>
      <c r="D1040" t="str">
        <v>+37,800 pcs</v>
      </c>
    </row>
    <row r="1041">
      <c r="A1041" t="str">
        <v>2026-01-22T21:02:51.327Z</v>
      </c>
      <c r="B1041" t="str">
        <v>DELIVERY (BULK)</v>
      </c>
      <c r="C1041" t="str">
        <v>BAG-A26X45HD</v>
      </c>
      <c r="D1041" t="str">
        <v>+27,000 pcs</v>
      </c>
    </row>
    <row r="1042">
      <c r="A1042" t="str">
        <v>2026-01-22T09:04:59.026Z</v>
      </c>
      <c r="B1042" t="str">
        <v>EXPORT REPORT</v>
      </c>
      <c r="C1042" t="str">
        <v>-</v>
      </c>
      <c r="D1042" t="str">
        <v>Human-readable report exported.</v>
      </c>
    </row>
    <row r="1043">
      <c r="A1043" t="str">
        <v>2026-01-22T09:04:52.365Z</v>
      </c>
      <c r="B1043" t="str">
        <v>BACKUP</v>
      </c>
      <c r="C1043" t="str">
        <v>-</v>
      </c>
      <c r="D1043" t="str">
        <v>Full inventory state backed up.</v>
      </c>
    </row>
    <row r="1044">
      <c r="A1044" t="str">
        <v>2026-01-22T09:04:35.656Z</v>
      </c>
      <c r="B1044" t="str">
        <v>BACKUP</v>
      </c>
      <c r="C1044" t="str">
        <v>-</v>
      </c>
      <c r="D1044" t="str">
        <v>Full inventory state backed up.</v>
      </c>
    </row>
    <row r="1045">
      <c r="A1045" t="str">
        <v>2026-01-22T09:04:01.181Z</v>
      </c>
      <c r="B1045" t="str">
        <v>EDIT ITEM</v>
      </c>
      <c r="C1045" t="str">
        <v>BAG-A21X41PE</v>
      </c>
      <c r="D1045" t="str">
        <v>Qty: "10x24000" -&gt; "9×24000 l 300"</v>
      </c>
    </row>
    <row r="1046">
      <c r="A1046" t="str">
        <v>2026-01-22T09:02:28.264Z</v>
      </c>
      <c r="B1046" t="str">
        <v>PRINT</v>
      </c>
      <c r="C1046" t="str">
        <v>-</v>
      </c>
      <c r="D1046" t="str">
        <v>Inventory count sheet printed.</v>
      </c>
    </row>
    <row r="1047">
      <c r="A1047" t="str">
        <v>2026-01-22T09:02:19.045Z</v>
      </c>
      <c r="B1047" t="str">
        <v>EXPORT REPORT</v>
      </c>
      <c r="C1047" t="str">
        <v>-</v>
      </c>
      <c r="D1047" t="str">
        <v>Human-readable report exported.</v>
      </c>
    </row>
    <row r="1048">
      <c r="A1048" t="str">
        <v>2026-01-22T09:02:06.758Z</v>
      </c>
      <c r="B1048" t="str">
        <v>BACKUP</v>
      </c>
      <c r="C1048" t="str">
        <v>-</v>
      </c>
      <c r="D1048" t="str">
        <v>Full inventory state backed up.</v>
      </c>
    </row>
    <row r="1049">
      <c r="A1049" t="str">
        <v>2026-01-22T09:01:55.500Z</v>
      </c>
      <c r="B1049" t="str">
        <v>BACKUP</v>
      </c>
      <c r="C1049" t="str">
        <v>-</v>
      </c>
      <c r="D1049" t="str">
        <v>Full inventory state backed up.</v>
      </c>
    </row>
    <row r="1050">
      <c r="A1050" t="str">
        <v>2026-01-22T09:01:31.902Z</v>
      </c>
      <c r="B1050" t="str">
        <v>EDIT ITEM</v>
      </c>
      <c r="C1050" t="str">
        <v>LBL-SOPCL24G_NS</v>
      </c>
      <c r="D1050" t="str">
        <v>Qty: "8×48 | 22 | 50 | 12×48 | 40" -&gt; "10×48 | 22 | 50 | 10×48 | 40"</v>
      </c>
    </row>
    <row r="1051">
      <c r="A1051" t="str">
        <v>2026-01-22T09:01:20.228Z</v>
      </c>
      <c r="B1051" t="str">
        <v>EDIT ITEM</v>
      </c>
      <c r="C1051" t="str">
        <v>LBL-RCUA90G-8_NS</v>
      </c>
      <c r="D1051" t="str">
        <v>Qty: "7×18 | 3 | 4 | 18 | 5 | 18" -&gt; "8×18 | 3 | 4 | 18 | 5 "</v>
      </c>
    </row>
    <row r="1052">
      <c r="A1052" t="str">
        <v>2026-01-22T09:01:04.540Z</v>
      </c>
      <c r="B1052" t="str">
        <v>EDIT ITEM</v>
      </c>
      <c r="C1052" t="str">
        <v>LBL-RCSL24G_NS</v>
      </c>
      <c r="D1052" t="str">
        <v>Qty: "9×48 | 28 | 12×48 | 43" -&gt; "11×48 | 28 | 10×48 | 43"</v>
      </c>
    </row>
    <row r="1053">
      <c r="A1053" t="str">
        <v>2026-01-22T09:00:41.508Z</v>
      </c>
      <c r="B1053" t="str">
        <v>EDIT ITEM</v>
      </c>
      <c r="C1053" t="str">
        <v>LBL-RCL24G_NS</v>
      </c>
      <c r="D1053" t="str">
        <v>Qty: "32 | 60" -&gt; "48 | 44"</v>
      </c>
    </row>
    <row r="1054">
      <c r="A1054" t="str">
        <v>2026-01-22T08:59:59.388Z</v>
      </c>
      <c r="B1054" t="str">
        <v>EDIT ITEM</v>
      </c>
      <c r="C1054" t="str">
        <v>LBL-OFCUA90G8_NS</v>
      </c>
      <c r="D1054" t="str">
        <v>Qty: "18 | 8 | 9" -&gt; "18 | 17"</v>
      </c>
    </row>
    <row r="1055">
      <c r="A1055" t="str">
        <v>2026-01-22T08:59:39.500Z</v>
      </c>
      <c r="B1055" t="str">
        <v>EDIT ITEM</v>
      </c>
      <c r="C1055" t="str">
        <v>LBL-EHOPCL24G_NS</v>
      </c>
      <c r="D1055" t="str">
        <v>Qty: "7×48 | 25×48" -&gt; "7×48 | 25×48 l 4"</v>
      </c>
    </row>
    <row r="1056">
      <c r="A1056" t="str">
        <v>2026-01-22T08:59:10.493Z</v>
      </c>
      <c r="B1056" t="str">
        <v>EDIT ITEM</v>
      </c>
      <c r="C1056" t="str">
        <v>BAG-A26X32.50PE</v>
      </c>
      <c r="D1056" t="str">
        <v>Qty: "15×24000 | 18300 | 15800 | 16500  | 6×24000 | 14100 | 6×24000 | 4200" -&gt; "15×24000 | 18300 | 15800 | 16500 | 12×24000 | 14100 | 4200"</v>
      </c>
    </row>
    <row r="1057">
      <c r="A1057" t="str">
        <v>2026-01-22T08:45:17.103Z</v>
      </c>
      <c r="B1057" t="str">
        <v>BULK WITHDRAW</v>
      </c>
      <c r="C1057" t="str">
        <v>1 items</v>
      </c>
      <c r="D1057" t="str">
        <v>LBL-CRPL24G-VL-ND (-48)</v>
      </c>
    </row>
    <row r="1058">
      <c r="A1058" t="str">
        <v>2026-01-22T08:43:42.143Z</v>
      </c>
      <c r="B1058" t="str">
        <v>BULK WITHDRAW</v>
      </c>
      <c r="C1058" t="str">
        <v>9 items</v>
      </c>
      <c r="D1058" t="str">
        <v>LBL-CRPUA85G8_NS (-18), LBL-EHOPCL24G_NS (-36), LBL-OFCUA90G8_NS (-10), LBL-PFCBM50G_NS (-6), LBL-PFXS5G-E_NS (-34), LBL-RCL24G_NS (-60), LBL-RCSL24G_NS (-48), LBL-RCUA90G-8_NS (-18), LBL-SOPCL24G_NS (-96)</v>
      </c>
    </row>
    <row r="1059">
      <c r="A1059" t="str">
        <v>2026-01-22T08:39:41.217Z</v>
      </c>
      <c r="B1059" t="str">
        <v>DELIVERY (BULK)</v>
      </c>
      <c r="C1059" t="str">
        <v>BAG-A23X42PE-G</v>
      </c>
      <c r="D1059" t="str">
        <v>+44,400 pcs</v>
      </c>
    </row>
    <row r="1060">
      <c r="A1060" t="str">
        <v>2026-01-22T08:39:41.198Z</v>
      </c>
      <c r="B1060" t="str">
        <v>DELIVERY (BULK)</v>
      </c>
      <c r="C1060" t="str">
        <v>BAG-A20.5X45PE</v>
      </c>
      <c r="D1060" t="str">
        <v>+27,600 pcs</v>
      </c>
    </row>
    <row r="1061">
      <c r="A1061" t="str">
        <v>2026-01-22T08:39:41.182Z</v>
      </c>
      <c r="B1061" t="str">
        <v>DELIVERY (BULK)</v>
      </c>
      <c r="C1061" t="str">
        <v>BAG-B15.50X42PE</v>
      </c>
      <c r="D1061" t="str">
        <v>+82,800 pcs</v>
      </c>
    </row>
    <row r="1062">
      <c r="A1062" t="str">
        <v>2026-01-22T08:39:41.164Z</v>
      </c>
      <c r="B1062" t="str">
        <v>DELIVERY (BULK)</v>
      </c>
      <c r="C1062" t="str">
        <v>BAG-B21.50X29PE</v>
      </c>
      <c r="D1062" t="str">
        <v>+121,200 pcs</v>
      </c>
    </row>
    <row r="1063">
      <c r="A1063" t="str">
        <v>2026-01-22T08:39:41.146Z</v>
      </c>
      <c r="B1063" t="str">
        <v>DELIVERY (BULK)</v>
      </c>
      <c r="C1063" t="str">
        <v>BAG-A26X32.50PE</v>
      </c>
      <c r="D1063" t="str">
        <v>+148,200 pcs</v>
      </c>
    </row>
    <row r="1064">
      <c r="A1064" t="str">
        <v>2026-01-22T01:06:44.451Z</v>
      </c>
      <c r="B1064" t="str">
        <v>EXPORT REPORT</v>
      </c>
      <c r="C1064" t="str">
        <v>-</v>
      </c>
      <c r="D1064" t="str">
        <v>Human-readable report exported.</v>
      </c>
    </row>
    <row r="1065">
      <c r="A1065" t="str">
        <v>2026-01-22T01:06:39.663Z</v>
      </c>
      <c r="B1065" t="str">
        <v>BACKUP</v>
      </c>
      <c r="C1065" t="str">
        <v>-</v>
      </c>
      <c r="D1065" t="str">
        <v>Full inventory state backed up.</v>
      </c>
    </row>
    <row r="1066">
      <c r="A1066" t="str">
        <v>2026-01-22T01:06:16.672Z</v>
      </c>
      <c r="B1066" t="str">
        <v>EDIT ITEM</v>
      </c>
      <c r="C1066" t="str">
        <v>LBL-RCUA90G-8_NS</v>
      </c>
      <c r="D1066" t="str">
        <v>Qty: "9×18 | 3 | 4 | 18 | 5" -&gt; "8×18 | 3 | 4 | 18 | 5 l 18"</v>
      </c>
    </row>
    <row r="1067">
      <c r="A1067" t="str">
        <v>2026-01-22T01:05:52.335Z</v>
      </c>
      <c r="B1067" t="str">
        <v>EDIT ITEM</v>
      </c>
      <c r="C1067" t="str">
        <v>LBL-RCSL24G_NS</v>
      </c>
      <c r="D1067" t="str">
        <v>Qty: "11×48 | 28 | 11×48 | 43" -&gt; "10×48 | 28 | 12×48 | 43"</v>
      </c>
    </row>
    <row r="1068">
      <c r="A1068" t="str">
        <v>2026-01-22T01:05:36.472Z</v>
      </c>
      <c r="B1068" t="str">
        <v>EDIT ITEM</v>
      </c>
      <c r="C1068" t="str">
        <v>LBL-RCL24G_NS</v>
      </c>
      <c r="D1068" t="str">
        <v>Qty: "48 | 36 | 12" -&gt; "48 l 44 l 60"</v>
      </c>
    </row>
    <row r="1069">
      <c r="A1069" t="str">
        <v>2026-01-22T01:05:12.695Z</v>
      </c>
      <c r="B1069" t="str">
        <v>EDIT ITEM</v>
      </c>
      <c r="C1069" t="str">
        <v>LBL-RCBM50G_NS</v>
      </c>
      <c r="D1069" t="str">
        <v>Qty: "4×27 | 9 | 9 | 4×27 | 28" -&gt; "4×27 | 18 | 4×27 | 28"</v>
      </c>
    </row>
    <row r="1070">
      <c r="A1070" t="str">
        <v>2026-01-22T01:04:48.943Z</v>
      </c>
      <c r="B1070" t="str">
        <v>EDIT ITEM</v>
      </c>
      <c r="C1070" t="str">
        <v>LBL-PTCCHDC32G_NS</v>
      </c>
      <c r="D1070" t="str">
        <v>Qty: "12 | 39" -&gt; "14 | 37"</v>
      </c>
    </row>
    <row r="1071">
      <c r="A1071" t="str">
        <v>2026-01-22T01:04:30.367Z</v>
      </c>
      <c r="B1071" t="str">
        <v>EDIT ITEM</v>
      </c>
      <c r="C1071" t="str">
        <v>LBL-OPCXS5G-EXP_NS</v>
      </c>
      <c r="D1071" t="str">
        <v>Qty: "78 | 19" -&gt; "97"</v>
      </c>
    </row>
    <row r="1072">
      <c r="A1072" t="str">
        <v>2026-01-22T01:04:14.584Z</v>
      </c>
      <c r="B1072" t="str">
        <v>EDIT ITEM</v>
      </c>
      <c r="C1072" t="str">
        <v>LBL-EHOPCUA90G8_NS</v>
      </c>
      <c r="D1072" t="str">
        <v>Qty: "4×18 | 19 | 3×18 | 17 | 8" -&gt; "4×18 | 19 | 4×18 | 7"</v>
      </c>
    </row>
    <row r="1073">
      <c r="A1073" t="str">
        <v>2026-01-22T01:03:50.776Z</v>
      </c>
      <c r="B1073" t="str">
        <v>EDIT ITEM</v>
      </c>
      <c r="C1073" t="str">
        <v>LBL-EHOPCL24G_NS</v>
      </c>
      <c r="D1073" t="str">
        <v>Qty: "5×48 | 24 | 4 | 24×48 | 3×48 | 12" -&gt; "7×48 | 36 | 25×48 "</v>
      </c>
    </row>
    <row r="1074">
      <c r="A1074" t="str">
        <v>2026-01-22T01:02:59.880Z</v>
      </c>
      <c r="B1074" t="str">
        <v>EDIT ITEM</v>
      </c>
      <c r="C1074" t="str">
        <v>BAG-B23X30.32W/HO</v>
      </c>
      <c r="D1074" t="str">
        <v>Qty: "4×24000 | 6000 | 8100 | 25800" -&gt; "3×24000 | 10800 | 8100 | 25800 l 9000"</v>
      </c>
    </row>
    <row r="1075">
      <c r="A1075" t="str">
        <v>2026-01-22T01:02:21.376Z</v>
      </c>
      <c r="B1075" t="str">
        <v>EDIT ITEM</v>
      </c>
      <c r="C1075" t="str">
        <v>BAG-B21.50X29PE</v>
      </c>
      <c r="D1075" t="str">
        <v>Qty: "25×24000 | 17×24000 | 4500 | 9600 | 20700" -&gt; "24×24000 | 18×24000 | 4500 | 9600 | 20700 l 2100"</v>
      </c>
    </row>
    <row r="1076">
      <c r="A1076" t="str">
        <v>2026-01-22T01:01:20.240Z</v>
      </c>
      <c r="B1076" t="str">
        <v>EDIT ITEM</v>
      </c>
      <c r="C1076" t="str">
        <v>BAG-B18X30BPE</v>
      </c>
      <c r="D1076" t="str">
        <v>Qty: "14×36000 | 29100 | 12000 | 29400 | 3×36000 | 3000" -&gt; "14×36000 | 29100 | 12000 | 29400 | 2×36000 | 39000"</v>
      </c>
    </row>
    <row r="1077">
      <c r="A1077" t="str">
        <v>2026-01-22T01:00:49.759Z</v>
      </c>
      <c r="B1077" t="str">
        <v>EDIT ITEM</v>
      </c>
      <c r="C1077" t="str">
        <v>BAG-B17.5X39PE</v>
      </c>
      <c r="D1077" t="str">
        <v>Qty: "11700 | 3×24000 | 600 | 24000 | 8400" -&gt; "12000 | 4×24000 | 8700"</v>
      </c>
    </row>
    <row r="1078">
      <c r="A1078" t="str">
        <v>2026-01-22T00:59:08.616Z</v>
      </c>
      <c r="B1078" t="str">
        <v>EDIT ITEM</v>
      </c>
      <c r="C1078" t="str">
        <v>BAG-B17.5X34PE</v>
      </c>
      <c r="D1078" t="str">
        <v>Qty: "4×30000 | 28500 | 5700 l 3300 l 2100" -&gt; "3×30000 | 4x24000 l 28500 | 5700 | 3300 | 2100"</v>
      </c>
    </row>
    <row r="1079">
      <c r="A1079" t="str">
        <v>2026-01-22T00:58:16.960Z</v>
      </c>
      <c r="B1079" t="str">
        <v>EDIT ITEM</v>
      </c>
      <c r="C1079" t="str">
        <v>BAG-B17.5X34PE</v>
      </c>
      <c r="D1079" t="str">
        <v>Qty: "24000 | 5100 | 21000 | 3×30000 | 28500 | 5700 | 2×24000 | 3300" -&gt; "4×30000 | 28500 | 5700 l 3300 l 2100"</v>
      </c>
    </row>
    <row r="1080">
      <c r="A1080" t="str">
        <v>2026-01-22T00:57:22.911Z</v>
      </c>
      <c r="B1080" t="str">
        <v>EDIT ITEM</v>
      </c>
      <c r="C1080" t="str">
        <v>BAG-A25.5X32PE</v>
      </c>
      <c r="D1080" t="str">
        <v>Qty: "2×24000 | 3000 | 2700" -&gt; "2×24000 | 5700"</v>
      </c>
    </row>
    <row r="1081">
      <c r="A1081" t="str">
        <v>2026-01-22T00:57:09.176Z</v>
      </c>
      <c r="B1081" t="str">
        <v>EDIT ITEM</v>
      </c>
      <c r="C1081" t="str">
        <v>BAG-A22X30PEW/FLAP</v>
      </c>
      <c r="D1081" t="str">
        <v>Qty: "19800 | 24600" -&gt; "20400 | 24000"</v>
      </c>
    </row>
    <row r="1082">
      <c r="A1082" t="str">
        <v>2026-01-22T00:56:23.384Z</v>
      </c>
      <c r="B1082" t="str">
        <v>EDIT ITEM</v>
      </c>
      <c r="C1082" t="str">
        <v>BAG-A19.5X35PE</v>
      </c>
      <c r="D1082" t="str">
        <v>Qty: "8×24000 | 20100 | 10650 | 3×24000 | 3600 | 5×24000 | 6000" -&gt; "8×24000 | 3750 | 9×24000 | 6000"</v>
      </c>
    </row>
    <row r="1083">
      <c r="A1083" t="str">
        <v>2026-01-21T22:12:00.691Z</v>
      </c>
      <c r="B1083" t="str">
        <v>EXPORT REPORT</v>
      </c>
      <c r="C1083" t="str">
        <v>-</v>
      </c>
      <c r="D1083" t="str">
        <v>Human-readable report exported.</v>
      </c>
    </row>
    <row r="1084">
      <c r="A1084" t="str">
        <v>2026-01-21T22:11:54.454Z</v>
      </c>
      <c r="B1084" t="str">
        <v>BACKUP</v>
      </c>
      <c r="C1084" t="str">
        <v>-</v>
      </c>
      <c r="D1084" t="str">
        <v>Full inventory state backed up.</v>
      </c>
    </row>
    <row r="1085">
      <c r="A1085" t="str">
        <v>2026-01-21T21:59:11.548Z</v>
      </c>
      <c r="B1085" t="str">
        <v>EDIT ITEM</v>
      </c>
      <c r="C1085" t="str">
        <v>LBL-CRPUA85G8_NS</v>
      </c>
      <c r="D1085" t="str">
        <v>Qty: "11×18 | 6 | 17" -&gt; "12×18 | 5"</v>
      </c>
    </row>
    <row r="1086">
      <c r="A1086" t="str">
        <v>2026-01-21T21:40:37.190Z</v>
      </c>
      <c r="B1086" t="str">
        <v>PRINT</v>
      </c>
      <c r="C1086" t="str">
        <v>-</v>
      </c>
      <c r="D1086" t="str">
        <v>Inventory count sheet printed.</v>
      </c>
    </row>
    <row r="1087">
      <c r="A1087" t="str">
        <v>2026-01-21T21:39:21.187Z</v>
      </c>
      <c r="B1087" t="str">
        <v>PRINT</v>
      </c>
      <c r="C1087" t="str">
        <v>-</v>
      </c>
      <c r="D1087" t="str">
        <v>Inventory count sheet printed.</v>
      </c>
    </row>
    <row r="1088">
      <c r="A1088" t="str">
        <v>2026-01-21T21:18:01.203Z</v>
      </c>
      <c r="B1088" t="str">
        <v>EDIT ITEM</v>
      </c>
      <c r="C1088" t="str">
        <v>BAG-A22X30PEW/FLAP</v>
      </c>
      <c r="D1088" t="str">
        <v>Qty: "19800 | 24600" -&gt; "19800 | 24600"</v>
      </c>
    </row>
    <row r="1089">
      <c r="A1089" t="str">
        <v>2026-01-21T21:17:25.468Z</v>
      </c>
      <c r="B1089" t="str">
        <v>BULK WITHDRAW</v>
      </c>
      <c r="C1089" t="str">
        <v>1 items</v>
      </c>
      <c r="D1089" t="str">
        <v>BAG-A22X30PEW/FLAP (-24,000)</v>
      </c>
    </row>
    <row r="1090">
      <c r="A1090" t="str">
        <v>2026-01-21T21:14:37.868Z</v>
      </c>
      <c r="B1090" t="str">
        <v>BULK WITHDRAW</v>
      </c>
      <c r="C1090" t="str">
        <v>14 items</v>
      </c>
      <c r="D1090" t="str">
        <v>BAG-A19.5X35PE (-24,000), BAG-A20.5X45PE (-3,000), BAG-B23X30.32W/HO (-24,000), BAG-A23X42PE-G (-3,000), BAG-A26.5X37.5PE (-3,000), LBL-CRPUA85G8_NS (-18), LBL-EHOPCL24G_NS (-216), LBL-EHOPCUA90G8_NS (-19), LBL-OPCUA90G-8_NS (-10), LBL-PTCCHDC32G_NS (-2), LBL-PTCCHJA85G_NS (-18), LBL-RCSL24G_NS (-96), LBL-RCUA90G-8_NS (-15), LBL-CRPL24G-VL-ND (-48)</v>
      </c>
    </row>
    <row r="1091">
      <c r="A1091" t="str">
        <v>2026-01-21T21:12:11.907Z</v>
      </c>
      <c r="B1091" t="str">
        <v>BULK WITHDRAW</v>
      </c>
      <c r="C1091" t="str">
        <v>28 items</v>
      </c>
      <c r="D1091" t="str">
        <v>BAG-A19.5X35PE (-33,000), BAG-A20.5X45PE (-3,000), BAG-A22.50X39PE (-1,800), BAG-B21.50X29PE (-24,000), BAG-A23X42PE-G (-3,000), BAG-A26X30HD (-600), BAG-A25.5X32PE (-69,000), BAG-A26X45HD (-9,000), BAG-A26.5X37.5PE (-15,000), BAG-A27X37.50PE (-15,000), BAG-A27X42PE (-1,800), BAG-B10.50X12PP (-48,000), BAG-B15.50X23PE (-3,900), BAG-B15.50X42PE (-4,800), BAG-B17.5X34PE (-6,000), BAG-B18X30BPE (-36,000), BAG-B22.50X34PE (-18,000), LBL-CRPUA85G8_NS (-30), LBL-EHOPCL24G_NS (-96), LBL-OORL16G_NS (-12), LBL-OPCF60GH_NS (-24), LBL-OPCXS5G-EXP_NS (-114), LBL-PFCBM50G_NS (-27), LBL-RCBM50G_NS (-18), LBL-RCL24G_NS (-60), LBL-RCSL24G_NS (-144), LBL-RCUA90G-8_NS (-4), LBL-SSCUA90G8_NS (-5)</v>
      </c>
    </row>
    <row r="1092">
      <c r="A1092" t="str">
        <v>2026-01-21T21:06:06.530Z</v>
      </c>
      <c r="B1092" t="str">
        <v>DELIVERY (BULK)</v>
      </c>
      <c r="C1092" t="str">
        <v>BAG-A19.5X35PE</v>
      </c>
      <c r="D1092" t="str">
        <v>+126,000 pcs</v>
      </c>
    </row>
    <row r="1093">
      <c r="A1093" t="str">
        <v>2026-01-21T21:06:06.515Z</v>
      </c>
      <c r="B1093" t="str">
        <v>DELIVERY (BULK)</v>
      </c>
      <c r="C1093" t="str">
        <v>BAG-A26X32.50PE</v>
      </c>
      <c r="D1093" t="str">
        <v>+158,100 pcs</v>
      </c>
    </row>
    <row r="1094">
      <c r="A1094" t="str">
        <v>2026-01-21T21:06:06.501Z</v>
      </c>
      <c r="B1094" t="str">
        <v>DELIVERY (BULK)</v>
      </c>
      <c r="C1094" t="str">
        <v>BAG-A26.5X37.5PE</v>
      </c>
      <c r="D1094" t="str">
        <v>+144,000 pcs</v>
      </c>
    </row>
    <row r="1095">
      <c r="A1095" t="str">
        <v>2026-01-21T21:06:06.487Z</v>
      </c>
      <c r="B1095" t="str">
        <v>DELIVERY (BULK)</v>
      </c>
      <c r="C1095" t="str">
        <v>BAG-B17.5X39PE</v>
      </c>
      <c r="D1095" t="str">
        <v>+32,400 pcs</v>
      </c>
    </row>
    <row r="1096">
      <c r="A1096" t="str">
        <v>2026-01-21T21:06:06.472Z</v>
      </c>
      <c r="B1096" t="str">
        <v>DELIVERY (BULK)</v>
      </c>
      <c r="C1096" t="str">
        <v>BAG-B17.5X34PE</v>
      </c>
      <c r="D1096" t="str">
        <v>+51,300 pcs</v>
      </c>
    </row>
    <row r="1097">
      <c r="A1097" t="str">
        <v>2026-01-21T21:03:07.068Z</v>
      </c>
      <c r="B1097" t="str">
        <v>DELIVERY (BULK)</v>
      </c>
      <c r="C1097" t="str">
        <v>BAG-A22X30PEW/FLAP</v>
      </c>
      <c r="D1097" t="str">
        <v>+19,800 pcs</v>
      </c>
    </row>
    <row r="1098">
      <c r="A1098" t="str">
        <v>2026-01-21T21:03:07.053Z</v>
      </c>
      <c r="B1098" t="str">
        <v>DELIVERY (BULK)</v>
      </c>
      <c r="C1098" t="str">
        <v>BAG-B20.87X31.89FH</v>
      </c>
      <c r="D1098" t="str">
        <v>+27,900 pcs</v>
      </c>
    </row>
    <row r="1099">
      <c r="A1099" t="str">
        <v>2026-01-21T21:03:07.038Z</v>
      </c>
      <c r="B1099" t="str">
        <v>DELIVERY (BULK)</v>
      </c>
      <c r="C1099" t="str">
        <v>BAG-B23X30.32W/HO</v>
      </c>
      <c r="D1099" t="str">
        <v>+25,800 pcs</v>
      </c>
    </row>
    <row r="1100">
      <c r="A1100" t="str">
        <v>2026-01-21T21:03:07.024Z</v>
      </c>
      <c r="B1100" t="str">
        <v>DELIVERY (BULK)</v>
      </c>
      <c r="C1100" t="str">
        <v>BAG-A26X45HD</v>
      </c>
      <c r="D1100" t="str">
        <v>+36,000 pcs</v>
      </c>
    </row>
    <row r="1101">
      <c r="A1101" t="str">
        <v>2026-01-21T20:58:45.209Z</v>
      </c>
      <c r="B1101" t="str">
        <v>DELIVERY (BULK)</v>
      </c>
      <c r="C1101" t="str">
        <v>LBL-SOPCF60GH_NS</v>
      </c>
      <c r="D1101" t="str">
        <v>+26 pcs</v>
      </c>
    </row>
    <row r="1102">
      <c r="A1102" t="str">
        <v>2026-01-21T20:58:18.329Z</v>
      </c>
      <c r="B1102" t="str">
        <v>DELIVERY (BULK)</v>
      </c>
      <c r="C1102" t="str">
        <v>LBL-EHOPCL24G_NS</v>
      </c>
      <c r="D1102" t="str">
        <v>+156 pcs</v>
      </c>
    </row>
    <row r="1103">
      <c r="A1103" t="str">
        <v>2026-01-21T20:58:18.305Z</v>
      </c>
      <c r="B1103" t="str">
        <v>DELIVERY (BULK)</v>
      </c>
      <c r="C1103" t="str">
        <v>LBL-EHOPCL24G_NS</v>
      </c>
      <c r="D1103" t="str">
        <v>+1,152 pcs</v>
      </c>
    </row>
    <row r="1104">
      <c r="A1104" t="str">
        <v>2026-01-21T20:54:12.493Z</v>
      </c>
      <c r="B1104" t="str">
        <v>EXPORT REPORT</v>
      </c>
      <c r="C1104" t="str">
        <v>-</v>
      </c>
      <c r="D1104" t="str">
        <v>Human-readable report exported.</v>
      </c>
    </row>
    <row r="1105">
      <c r="A1105" t="str">
        <v>2026-01-21T20:54:04.400Z</v>
      </c>
      <c r="B1105" t="str">
        <v>BACKUP</v>
      </c>
      <c r="C1105" t="str">
        <v>-</v>
      </c>
      <c r="D1105" t="str">
        <v>Full inventory state backed up.</v>
      </c>
    </row>
    <row r="1106">
      <c r="A1106" t="str">
        <v>2026-01-21T20:53:35.431Z</v>
      </c>
      <c r="B1106" t="str">
        <v>BACKUP</v>
      </c>
      <c r="C1106" t="str">
        <v>-</v>
      </c>
      <c r="D1106" t="str">
        <v>Full inventory state backed up.</v>
      </c>
    </row>
    <row r="1107">
      <c r="A1107" t="str">
        <v>2026-01-20T23:42:01.419Z</v>
      </c>
      <c r="B1107" t="str">
        <v>EDIT ITEM</v>
      </c>
      <c r="C1107" t="str">
        <v>LBL-SSCL24G_NS</v>
      </c>
      <c r="D1107" t="str">
        <v>Qty: "9×48 | 26 | 5" -&gt; "9×48 | 31"</v>
      </c>
    </row>
    <row r="1108">
      <c r="A1108" t="str">
        <v>2026-01-20T23:41:50.274Z</v>
      </c>
      <c r="B1108" t="str">
        <v>EDIT ITEM</v>
      </c>
      <c r="C1108" t="str">
        <v>LBL-SOPCL24G_NS</v>
      </c>
      <c r="D1108" t="str">
        <v>Qty: "7×48 | 22 | 50 | 15×48 | 40" -&gt; "10×48 | 22 | 50 | 12×48 | 40"</v>
      </c>
    </row>
    <row r="1109">
      <c r="A1109" t="str">
        <v>2026-01-20T23:41:30.467Z</v>
      </c>
      <c r="B1109" t="str">
        <v>EDIT ITEM</v>
      </c>
      <c r="C1109" t="str">
        <v>LBL-RCUA90G-8_NS</v>
      </c>
      <c r="D1109" t="str">
        <v>Qty: "10×18 | 8 | 18 l 5" -&gt; "10×18 | 8 | 18 | 5"</v>
      </c>
    </row>
    <row r="1110">
      <c r="A1110" t="str">
        <v>2026-01-20T23:41:25.450Z</v>
      </c>
      <c r="B1110" t="str">
        <v>EDIT ITEM</v>
      </c>
      <c r="C1110" t="str">
        <v>LBL-RCUA90G-8_NS</v>
      </c>
      <c r="D1110" t="str">
        <v>Qty: "10×18 | 13 | 18" -&gt; "10×18 | 8 | 18 l 5"</v>
      </c>
    </row>
    <row r="1111">
      <c r="A1111" t="str">
        <v>2026-01-20T23:41:04.259Z</v>
      </c>
      <c r="B1111" t="str">
        <v>EDIT ITEM</v>
      </c>
      <c r="C1111" t="str">
        <v>LBL-RCSL24G_NS</v>
      </c>
      <c r="D1111" t="str">
        <v>Qty: "16×48 | 28 | 8×48 | 3×48 | 43" -&gt; "16×48 | 28 | 11×48 | 43"</v>
      </c>
    </row>
    <row r="1112">
      <c r="A1112" t="str">
        <v>2026-01-20T23:40:47.706Z</v>
      </c>
      <c r="B1112" t="str">
        <v>EDIT ITEM</v>
      </c>
      <c r="C1112" t="str">
        <v>LBL-RCL24G_NS</v>
      </c>
      <c r="D1112" t="str">
        <v>Qty: "4×48 | 15" -&gt; "3×48 | 12"</v>
      </c>
    </row>
    <row r="1113">
      <c r="A1113" t="str">
        <v>2026-01-20T23:40:31.675Z</v>
      </c>
      <c r="B1113" t="str">
        <v>EDIT ITEM</v>
      </c>
      <c r="C1113" t="str">
        <v>LBL-PSNKFB60G_NS</v>
      </c>
      <c r="D1113" t="str">
        <v>Qty: "2×27 | 20 | 21" -&gt; "3×27 | 2 | 21"</v>
      </c>
    </row>
    <row r="1114">
      <c r="A1114" t="str">
        <v>2026-01-20T23:40:19.139Z</v>
      </c>
      <c r="B1114" t="str">
        <v>EDIT ITEM</v>
      </c>
      <c r="C1114" t="str">
        <v>LBL-PFLB21G_NS</v>
      </c>
      <c r="D1114" t="str">
        <v>Qty: "38" -&gt; "37"</v>
      </c>
    </row>
    <row r="1115">
      <c r="A1115" t="str">
        <v>2026-01-20T23:40:03.115Z</v>
      </c>
      <c r="B1115" t="str">
        <v>EDIT ITEM</v>
      </c>
      <c r="C1115" t="str">
        <v>LBL-PFKLB21G_NS</v>
      </c>
      <c r="D1115" t="str">
        <v>Qty: "11×48 | 3" -&gt; "10×48 | 38 l 13"</v>
      </c>
    </row>
    <row r="1116">
      <c r="A1116" t="str">
        <v>2026-01-20T23:39:31.546Z</v>
      </c>
      <c r="B1116" t="str">
        <v>EDIT ITEM</v>
      </c>
      <c r="C1116" t="str">
        <v>LBL-PFCLB21G_NS</v>
      </c>
      <c r="D1116" t="str">
        <v>Qty: "13×48 | 11" -&gt; "14×48 | 41"</v>
      </c>
    </row>
    <row r="1117">
      <c r="A1117" t="str">
        <v>2026-01-20T23:39:10.139Z</v>
      </c>
      <c r="B1117" t="str">
        <v>EDIT ITEM</v>
      </c>
      <c r="C1117" t="str">
        <v>LBL-PFBQBM50G_NS</v>
      </c>
      <c r="D1117" t="str">
        <v>Qty: "27 | 21" -&gt; "27 | 26"</v>
      </c>
    </row>
    <row r="1118">
      <c r="A1118" t="str">
        <v>2026-01-20T23:38:16.859Z</v>
      </c>
      <c r="B1118" t="str">
        <v>EDIT ITEM</v>
      </c>
      <c r="C1118" t="str">
        <v>LBL-OORUA75G</v>
      </c>
      <c r="D1118" t="str">
        <v>Qty: "18 | 6×18 | 7×18 | 4" -&gt; "2x18 | 6×18 | 7×18 | 6 l 22"</v>
      </c>
    </row>
    <row r="1119">
      <c r="A1119" t="str">
        <v>2026-01-20T23:37:50.946Z</v>
      </c>
      <c r="B1119" t="str">
        <v>EDIT ITEM</v>
      </c>
      <c r="C1119" t="str">
        <v>LBL-OORL16G_NS</v>
      </c>
      <c r="D1119" t="str">
        <v>Qty: "48 | 37" -&gt; "48 | 13"</v>
      </c>
    </row>
    <row r="1120">
      <c r="A1120" t="str">
        <v>2026-01-20T23:37:34.067Z</v>
      </c>
      <c r="B1120" t="str">
        <v>EDIT ITEM</v>
      </c>
      <c r="C1120" t="str">
        <v>LBL-CRPL24G-VL-ND</v>
      </c>
      <c r="D1120" t="str">
        <v>Qty: "17×48 | 13 | 20×48 | 9 | 20×48 | 1" -&gt; "19×48 | 13 | 20×48 | 9 | 19×48 | 1"</v>
      </c>
    </row>
    <row r="1121">
      <c r="A1121" t="str">
        <v>2026-01-20T23:37:09.290Z</v>
      </c>
      <c r="B1121" t="str">
        <v>EDIT ITEM</v>
      </c>
      <c r="C1121" t="str">
        <v>BAG-B13X10.50PP</v>
      </c>
      <c r="D1121" t="str">
        <v>Qty: "209000" -&gt; "160000 l 49000"</v>
      </c>
    </row>
    <row r="1122">
      <c r="A1122" t="str">
        <v>2026-01-20T23:36:36.579Z</v>
      </c>
      <c r="B1122" t="str">
        <v>EDIT ITEM</v>
      </c>
      <c r="C1122" t="str">
        <v>BAG-B6X7FPP</v>
      </c>
      <c r="D1122" t="str">
        <v>Qty: "1091000" -&gt; "2x520000 l 51000 "</v>
      </c>
    </row>
    <row r="1123">
      <c r="A1123" t="str">
        <v>2026-01-20T23:36:01.371Z</v>
      </c>
      <c r="B1123" t="str">
        <v>EDIT ITEM</v>
      </c>
      <c r="C1123" t="str">
        <v>BAG-B23X30.32W/HO</v>
      </c>
      <c r="D1123" t="str">
        <v>Qty: "24000 | 2×24000 | 5100 | 8700 | 5400 | 10800 | 24000 | 8100" -&gt; "4×24000 | 5100 | 8700 | 5400 | 10800 | 8100"</v>
      </c>
    </row>
    <row r="1124">
      <c r="A1124" t="str">
        <v>2026-01-20T23:35:34.763Z</v>
      </c>
      <c r="B1124" t="str">
        <v>EDIT ITEM</v>
      </c>
      <c r="C1124" t="str">
        <v>BAG-B22.50X34PE</v>
      </c>
      <c r="D1124" t="str">
        <v>Qty: "3×24000 | 14400 | 9×24000 | 9600" -&gt; "5×24000 | 8×24000 "</v>
      </c>
    </row>
    <row r="1125">
      <c r="A1125" t="str">
        <v>2026-01-20T23:35:09.899Z</v>
      </c>
      <c r="B1125" t="str">
        <v>EDIT ITEM</v>
      </c>
      <c r="C1125" t="str">
        <v>BAG-B21.50X29PE</v>
      </c>
      <c r="D1125" t="str">
        <v>Qty: "22×24000 | 17×24000 | 12000 | 18000 | 2×24000 | 22500 | 2100 | 9600 | 20700" -&gt; "25×24000 | 18×24000 | 4500 | 9600 l 20700"</v>
      </c>
    </row>
    <row r="1126">
      <c r="A1126" t="str">
        <v>2026-01-20T23:32:51.522Z</v>
      </c>
      <c r="B1126" t="str">
        <v>EDIT ITEM</v>
      </c>
      <c r="C1126" t="str">
        <v>BAG-B18X30BPE</v>
      </c>
      <c r="D1126" t="str">
        <v>Qty: "14×36000 | 29100 | 12000 | 36000 | 14400 | 3×36000 | 18000" -&gt; "14×36000 | 29100 | 12000 | 36000 | 29400 | 3×36000 | 3000"</v>
      </c>
    </row>
    <row r="1127">
      <c r="A1127" t="str">
        <v>2026-01-20T23:31:47.739Z</v>
      </c>
      <c r="B1127" t="str">
        <v>EDIT ITEM</v>
      </c>
      <c r="C1127" t="str">
        <v>BAG-B15.50X42PE</v>
      </c>
      <c r="D1127" t="str">
        <v>Qty: "21900 | 3×27000 | 7200" -&gt; "21900 | 2x36000 | 16200"</v>
      </c>
    </row>
    <row r="1128">
      <c r="A1128" t="str">
        <v>2026-01-20T23:31:17.299Z</v>
      </c>
      <c r="B1128" t="str">
        <v>EDIT ITEM</v>
      </c>
      <c r="C1128" t="str">
        <v>BAG-A26X45HD</v>
      </c>
      <c r="D1128" t="str">
        <v>Qty: "2x19200 | 2×24000 | 17400 | 6600 | 18600" -&gt; "2×19200 | 2×24000 | 17400 | 6600 | 18600"</v>
      </c>
    </row>
    <row r="1129">
      <c r="A1129" t="str">
        <v>2026-01-20T23:31:08.155Z</v>
      </c>
      <c r="B1129" t="str">
        <v>EDIT ITEM</v>
      </c>
      <c r="C1129" t="str">
        <v>BAG-A26X45HD</v>
      </c>
      <c r="D1129" t="str">
        <v>Qty: "18600 | 19200 | 2×24000 | 19200 | 6000 l 18000" -&gt; "2x19200 | 2×24000 | 17400 | 6600 | 18600"</v>
      </c>
    </row>
    <row r="1130">
      <c r="A1130" t="str">
        <v>2026-01-20T23:30:08.099Z</v>
      </c>
      <c r="B1130" t="str">
        <v>EDIT ITEM</v>
      </c>
      <c r="C1130" t="str">
        <v>BAG-A26X32.50PE</v>
      </c>
      <c r="D1130" t="str">
        <v>Qty: "12×24000 | 18300 | 15800 | 16500 | 3×24000" -&gt; "15×24000 | 18300 | 15800 | 16500 "</v>
      </c>
    </row>
    <row r="1131">
      <c r="A1131" t="str">
        <v>2026-01-20T23:29:40.403Z</v>
      </c>
      <c r="B1131" t="str">
        <v>EDIT ITEM</v>
      </c>
      <c r="C1131" t="str">
        <v>BAG-A25.5X32PE</v>
      </c>
      <c r="D1131" t="str">
        <v>Qty: "4×24000 | 21000 | 5700" -&gt; "5×24000 | 2700"</v>
      </c>
    </row>
    <row r="1132">
      <c r="A1132" t="str">
        <v>2026-01-20T23:29:20.179Z</v>
      </c>
      <c r="B1132" t="str">
        <v>EDIT ITEM</v>
      </c>
      <c r="C1132" t="str">
        <v>BAG-A23X42PE-G</v>
      </c>
      <c r="D1132" t="str">
        <v>Qty: "8×19200 | 10200 | 16200 | 21600 | 5400 | 2×19200 | 1200" -&gt; "10×19200 | 11400 | 2400 | 21600 | 3×19200"</v>
      </c>
    </row>
    <row r="1133">
      <c r="A1133" t="str">
        <v>2026-01-20T22:24:56.887Z</v>
      </c>
      <c r="B1133" t="str">
        <v>PRINT</v>
      </c>
      <c r="C1133" t="str">
        <v>-</v>
      </c>
      <c r="D1133" t="str">
        <v>Inventory count sheet printed.</v>
      </c>
    </row>
    <row r="1134">
      <c r="A1134" t="str">
        <v>2026-01-20T22:20:37.553Z</v>
      </c>
      <c r="B1134" t="str">
        <v>EDIT ITEM</v>
      </c>
      <c r="C1134" t="str">
        <v>BAG-A21X26PE</v>
      </c>
      <c r="D1134" t="str">
        <v>Qty: "5×48 | 43 | 36 | 12 | 2" -&gt; ""</v>
      </c>
    </row>
    <row r="1135">
      <c r="A1135" t="str">
        <v>2026-01-20T22:20:26.395Z</v>
      </c>
      <c r="B1135" t="str">
        <v>BULK WITHDRAW</v>
      </c>
      <c r="C1135" t="str">
        <v>1 items</v>
      </c>
      <c r="D1135" t="str">
        <v>BAG-A21X26PE (-5)</v>
      </c>
    </row>
    <row r="1136">
      <c r="A1136" t="str">
        <v>2026-01-20T22:20:16.930Z</v>
      </c>
      <c r="B1136" t="str">
        <v>EDIT ITEM</v>
      </c>
      <c r="C1136" t="str">
        <v>BAG-A21X26PE</v>
      </c>
      <c r="D1136" t="str">
        <v>Qty: "5×48 | 43 | 36 | 12 | 7" -&gt; "5×48 | 43 | 36 | 12 | 7"</v>
      </c>
    </row>
    <row r="1137">
      <c r="A1137" t="str">
        <v>2026-01-20T22:19:54.643Z</v>
      </c>
      <c r="B1137" t="str">
        <v>BULK WITHDRAW</v>
      </c>
      <c r="C1137" t="str">
        <v>1 items</v>
      </c>
      <c r="D1137" t="str">
        <v>BAG-A21X26PE (-5)</v>
      </c>
    </row>
    <row r="1138">
      <c r="A1138" t="str">
        <v>2026-01-20T22:19:46.986Z</v>
      </c>
      <c r="B1138" t="str">
        <v>EDIT ITEM</v>
      </c>
      <c r="C1138" t="str">
        <v>BAG-A21X26PE</v>
      </c>
      <c r="D1138" t="str">
        <v>Qty: "3×48 | 43 | 36 | 12 | 5 | 7" -&gt; "5×48 | 43 | 36 | 12 | 5 | 7"</v>
      </c>
    </row>
    <row r="1139">
      <c r="A1139" t="str">
        <v>2026-01-20T22:19:23.012Z</v>
      </c>
      <c r="B1139" t="str">
        <v>BULK WITHDRAW</v>
      </c>
      <c r="C1139" t="str">
        <v>1 items</v>
      </c>
      <c r="D1139" t="str">
        <v>BAG-A21X26PE (-5)</v>
      </c>
    </row>
    <row r="1140">
      <c r="A1140" t="str">
        <v>2026-01-20T22:19:04.323Z</v>
      </c>
      <c r="B1140" t="str">
        <v>BULK WITHDRAW</v>
      </c>
      <c r="C1140" t="str">
        <v>1 items</v>
      </c>
      <c r="D1140" t="str">
        <v>BAG-A21X26PE (-48)</v>
      </c>
    </row>
    <row r="1141">
      <c r="A1141" t="str">
        <v>2026-01-20T22:16:43.946Z</v>
      </c>
      <c r="B1141" t="str">
        <v>EDIT ITEM</v>
      </c>
      <c r="C1141" t="str">
        <v>BAG-A21X26PE</v>
      </c>
      <c r="D1141" t="str">
        <v>Qty: "4×48 | 36 | 12 | 5 | 7" -&gt; "5×48 | 36 | 12 | 5 | 7"</v>
      </c>
    </row>
    <row r="1142">
      <c r="A1142" t="str">
        <v>2026-01-20T22:16:31.876Z</v>
      </c>
      <c r="B1142" t="str">
        <v>BULK WITHDRAW</v>
      </c>
      <c r="C1142" t="str">
        <v>1 items</v>
      </c>
      <c r="D1142" t="str">
        <v>BAG-A21X26PE (-48)</v>
      </c>
    </row>
    <row r="1143">
      <c r="A1143" t="str">
        <v>2026-01-20T22:16:21.386Z</v>
      </c>
      <c r="B1143" t="str">
        <v>EDIT ITEM</v>
      </c>
      <c r="C1143" t="str">
        <v>BAG-A21X26PE</v>
      </c>
      <c r="D1143" t="str">
        <v>Qty: "5x48 l 36 l 12 l 5 l 7" -&gt; "5×48 | 36 | 12 | 5 | 7"</v>
      </c>
    </row>
    <row r="1144">
      <c r="A1144" t="str">
        <v>2026-01-20T22:16:00.034Z</v>
      </c>
      <c r="B1144" t="str">
        <v>EDIT ITEM</v>
      </c>
      <c r="C1144" t="str">
        <v>BAG-A21X26PE</v>
      </c>
      <c r="D1144" t="str">
        <v>Qty: "" -&gt; "5x48 l 36 l 12 l 5 l 7"</v>
      </c>
    </row>
    <row r="1145">
      <c r="A1145" t="str">
        <v>2026-01-20T21:58:23.478Z</v>
      </c>
      <c r="B1145" t="str">
        <v>PRINT</v>
      </c>
      <c r="C1145" t="str">
        <v>-</v>
      </c>
      <c r="D1145" t="str">
        <v>Inventory count sheet printed.</v>
      </c>
    </row>
    <row r="1146">
      <c r="A1146" t="str">
        <v>2026-01-20T21:57:54.873Z</v>
      </c>
      <c r="B1146" t="str">
        <v>PRINT</v>
      </c>
      <c r="C1146" t="str">
        <v>-</v>
      </c>
      <c r="D1146" t="str">
        <v>Inventory count sheet printed.</v>
      </c>
    </row>
    <row r="1147">
      <c r="A1147" t="str">
        <v>2026-01-20T21:46:51.219Z</v>
      </c>
      <c r="B1147" t="str">
        <v>PRINT</v>
      </c>
      <c r="C1147" t="str">
        <v>-</v>
      </c>
      <c r="D1147" t="str">
        <v>Inventory count sheet printed.</v>
      </c>
    </row>
    <row r="1148">
      <c r="A1148" t="str">
        <v>2026-01-20T21:34:17.540Z</v>
      </c>
      <c r="B1148" t="str">
        <v>EXPORT REPORT</v>
      </c>
      <c r="C1148" t="str">
        <v>-</v>
      </c>
      <c r="D1148" t="str">
        <v>Human-readable report exported.</v>
      </c>
    </row>
    <row r="1149">
      <c r="A1149" t="str">
        <v>2026-01-20T21:34:04.577Z</v>
      </c>
      <c r="B1149" t="str">
        <v>BACKUP</v>
      </c>
      <c r="C1149" t="str">
        <v>-</v>
      </c>
      <c r="D1149" t="str">
        <v>Full inventory state backed up.</v>
      </c>
    </row>
    <row r="1150">
      <c r="A1150" t="str">
        <v>2026-01-20T21:33:39.450Z</v>
      </c>
      <c r="B1150" t="str">
        <v>BACKUP</v>
      </c>
      <c r="C1150" t="str">
        <v>-</v>
      </c>
      <c r="D1150" t="str">
        <v>Full inventory state backed up.</v>
      </c>
    </row>
    <row r="1151">
      <c r="A1151" t="str">
        <v>2026-01-20T21:22:46.114Z</v>
      </c>
      <c r="B1151" t="str">
        <v>EDIT ITEM</v>
      </c>
      <c r="C1151" t="str">
        <v>LBL-SSCL24G_NS</v>
      </c>
      <c r="D1151" t="str">
        <v>Qty: "8×48 | 24 | 38 | 12 | 5" -&gt; "9×48 | 26 | 5"</v>
      </c>
    </row>
    <row r="1152">
      <c r="A1152" t="str">
        <v>2026-01-20T21:21:40.786Z</v>
      </c>
      <c r="B1152" t="str">
        <v>EDIT ITEM</v>
      </c>
      <c r="C1152" t="str">
        <v>LBL-SOPCUA90G8_NS</v>
      </c>
      <c r="D1152" t="str">
        <v>Qty: "12×18 | 14 | 11 | 3" -&gt; "13×18 | 10"</v>
      </c>
    </row>
    <row r="1153">
      <c r="A1153" t="str">
        <v>2026-01-20T21:19:21.786Z</v>
      </c>
      <c r="B1153" t="str">
        <v>EDIT ITEM</v>
      </c>
      <c r="C1153" t="str">
        <v>LBL-RCUA90G-8_NS</v>
      </c>
      <c r="D1153" t="str">
        <v>Qty: "10×18 | 8 | 5 | 18" -&gt; "10×18 | 13 | 18"</v>
      </c>
    </row>
    <row r="1154">
      <c r="A1154" t="str">
        <v>2026-01-20T21:18:22.882Z</v>
      </c>
      <c r="B1154" t="str">
        <v>EDIT ITEM</v>
      </c>
      <c r="C1154" t="str">
        <v>LBL-RCSL24G_NS</v>
      </c>
      <c r="D1154" t="str">
        <v>Qty: "16×48 | 16 | 12 | 8×48 | 3×48 | 43" -&gt; "16×48 | 28 | 8×48 | 3×48 | 43"</v>
      </c>
    </row>
    <row r="1155">
      <c r="A1155" t="str">
        <v>2026-01-20T21:17:03.939Z</v>
      </c>
      <c r="B1155" t="str">
        <v>EDIT ITEM</v>
      </c>
      <c r="C1155" t="str">
        <v>LBL-RCL24G_NS</v>
      </c>
      <c r="D1155" t="str">
        <v>Qty: "3×48 | 28 | 35" -&gt; "4×48 | 15"</v>
      </c>
    </row>
    <row r="1156">
      <c r="A1156" t="str">
        <v>2026-01-20T21:16:39.385Z</v>
      </c>
      <c r="B1156" t="str">
        <v>EDIT ITEM</v>
      </c>
      <c r="C1156" t="str">
        <v>LBL-RCBM50G_NS</v>
      </c>
      <c r="D1156" t="str">
        <v>Qty: "3×27 | 22 | 15 | 26 | 4×27 | 28" -&gt; "5×27 | 9 | 4×27 | 28"</v>
      </c>
    </row>
    <row r="1157">
      <c r="A1157" t="str">
        <v>2026-01-20T21:13:10.594Z</v>
      </c>
      <c r="B1157" t="str">
        <v>EDIT ITEM</v>
      </c>
      <c r="C1157" t="str">
        <v>LBL-PFCLB21G_NS</v>
      </c>
      <c r="D1157" t="str">
        <v>Qty: "12×48 | 4 | 28 | 27" -&gt; "13×48 | 11"</v>
      </c>
    </row>
    <row r="1158">
      <c r="A1158" t="str">
        <v>2026-01-20T21:12:23.817Z</v>
      </c>
      <c r="B1158" t="str">
        <v>EDIT ITEM</v>
      </c>
      <c r="C1158" t="str">
        <v>LBL-PFCBM50G_NS</v>
      </c>
      <c r="D1158" t="str">
        <v>Qty: "4×27 | 22 | 22" -&gt; "5×27 | 17"</v>
      </c>
    </row>
    <row r="1159">
      <c r="A1159" t="str">
        <v>2026-01-20T21:11:27.723Z</v>
      </c>
      <c r="B1159" t="str">
        <v>EDIT ITEM</v>
      </c>
      <c r="C1159" t="str">
        <v>LBL-PFBM50G-H_NS</v>
      </c>
      <c r="D1159" t="str">
        <v>Qty: "27 | 22 | 4" -&gt; "27 | 26"</v>
      </c>
    </row>
    <row r="1160">
      <c r="A1160" t="str">
        <v>2026-01-20T21:10:41.817Z</v>
      </c>
      <c r="B1160" t="str">
        <v>EDIT ITEM</v>
      </c>
      <c r="C1160" t="str">
        <v>LBL-OPCXS5G-EXP_NS</v>
      </c>
      <c r="D1160" t="str">
        <v>Qty: "96 | 66 | 49" -&gt; "2x96 | 19"</v>
      </c>
    </row>
    <row r="1161">
      <c r="A1161" t="str">
        <v>2026-01-20T21:09:52.089Z</v>
      </c>
      <c r="B1161" t="str">
        <v>EDIT ITEM</v>
      </c>
      <c r="C1161" t="str">
        <v>LBL-OPCUA90G-8_NS</v>
      </c>
      <c r="D1161" t="str">
        <v>Qty: "6 | 11" -&gt; "17"</v>
      </c>
    </row>
    <row r="1162">
      <c r="A1162" t="str">
        <v>2026-01-20T21:08:51.977Z</v>
      </c>
      <c r="B1162" t="str">
        <v>EDIT ITEM</v>
      </c>
      <c r="C1162" t="str">
        <v>LBL-OORUA75G</v>
      </c>
      <c r="D1162" t="str">
        <v>Qty: "12 | 6 | 6×18 | 7×18 | 4" -&gt; "18 | 6×18 | 7×18 | 4"</v>
      </c>
    </row>
    <row r="1163">
      <c r="A1163" t="str">
        <v>2026-01-20T21:07:38.961Z</v>
      </c>
      <c r="B1163" t="str">
        <v>EDIT ITEM</v>
      </c>
      <c r="C1163" t="str">
        <v>LBL-OORL16G_NS</v>
      </c>
      <c r="D1163" t="str">
        <v>Qty: "24 | 38 | 23" -&gt; "48 | 37"</v>
      </c>
    </row>
    <row r="1164">
      <c r="A1164" t="str">
        <v>2026-01-20T21:06:23.322Z</v>
      </c>
      <c r="B1164" t="str">
        <v>EDIT ITEM</v>
      </c>
      <c r="C1164" t="str">
        <v>LBL-EHOPCUA90G8_NS</v>
      </c>
      <c r="D1164" t="str">
        <v>Qty: "4×18 | 19 | 4×18 | 13 | 13" -&gt; "4×18 | 19 | 5×18 | 8"</v>
      </c>
    </row>
    <row r="1165">
      <c r="A1165" t="str">
        <v>2026-01-20T21:05:05.313Z</v>
      </c>
      <c r="B1165" t="str">
        <v>EDIT ITEM</v>
      </c>
      <c r="C1165" t="str">
        <v>LBL-CRPUA85G8_NS</v>
      </c>
      <c r="D1165" t="str">
        <v>Qty: "14×18 | 8 | 9" -&gt; "14×18 | 17"</v>
      </c>
    </row>
    <row r="1166">
      <c r="A1166" t="str">
        <v>2026-01-20T20:59:54.123Z</v>
      </c>
      <c r="B1166" t="str">
        <v>EDIT ITEM</v>
      </c>
      <c r="C1166" t="str">
        <v>BAG-B18X30BPE</v>
      </c>
      <c r="D1166" t="str">
        <v>Qty: "14×36000 | 29100 | 12000 | 21000 | 29400 | 3×36000 | 18000" -&gt; "14×36000 | 29100 | 12000 | 36000 | 14400 | 3×36000 | 18000"</v>
      </c>
    </row>
    <row r="1167">
      <c r="A1167" t="str">
        <v>2026-01-20T20:56:55.385Z</v>
      </c>
      <c r="B1167" t="str">
        <v>EDIT ITEM</v>
      </c>
      <c r="C1167" t="str">
        <v>BAG-A26X45HD</v>
      </c>
      <c r="D1167" t="str">
        <v>Qty: "16800 | 19200 | 2×24000 | 2×19200 | 6600" -&gt; "18600 | 19200 | 2×24000 | 19200 | 6000 l 18000"</v>
      </c>
    </row>
    <row r="1168">
      <c r="A1168" t="str">
        <v>2026-01-20T20:50:32.169Z</v>
      </c>
      <c r="B1168" t="str">
        <v>EDIT ITEM</v>
      </c>
      <c r="C1168" t="str">
        <v>BAG-A25.5X32PE</v>
      </c>
      <c r="D1168" t="str">
        <v>Qty: "3×24000 | 12000 | 21000 | 17700" -&gt; "4×24000 | 21000 | 5700"</v>
      </c>
    </row>
    <row r="1169">
      <c r="A1169" t="str">
        <v>2026-01-20T20:44:42.337Z</v>
      </c>
      <c r="B1169" t="str">
        <v>EDIT ITEM</v>
      </c>
      <c r="C1169" t="str">
        <v>BAG-A22.50X39PE</v>
      </c>
      <c r="D1169" t="str">
        <v>Qty: "2×24000 | 18300 | 5700 | 24600" -&gt; "3×24000 | 24600"</v>
      </c>
    </row>
    <row r="1170">
      <c r="A1170" t="str">
        <v>2026-01-20T20:37:40.689Z</v>
      </c>
      <c r="B1170" t="str">
        <v>EDIT ITEM</v>
      </c>
      <c r="C1170" t="str">
        <v>BAG-A26X32.50PE</v>
      </c>
      <c r="D1170" t="str">
        <v>Qty: "14×24000 | 18300 | 15800 l 16500 | 3×24000 | 2400" -&gt; "12×24000 | 18300 | 15800 | 16500 | 3×24000"</v>
      </c>
    </row>
    <row r="1171">
      <c r="A1171" t="str">
        <v>2026-01-20T20:36:58.334Z</v>
      </c>
      <c r="B1171" t="str">
        <v>BULK WITHDRAW</v>
      </c>
      <c r="C1171" t="str">
        <v>11 items</v>
      </c>
      <c r="D1171" t="str">
        <v>BAG-A23X42PE-G (-9,000), BAG-A26X45HD (-19,200), BAG-A27X42PE (-24,000), BAG-B17.5X34PE (-18,000), LBL-OORL16G_NS (-24), LBL-PFCBM50G_NS (-5), LBL-PFCLB21G_NS (-44), LBL-SOPCF60GH_NS (-24), LBL-SOPCL24G_NS (-48), LBL-SOPCUA90G8_NS (-22), LBL-SSCL24G_NS (-24)</v>
      </c>
    </row>
    <row r="1172">
      <c r="A1172" t="str">
        <v>2026-01-20T20:33:20.063Z</v>
      </c>
      <c r="B1172" t="str">
        <v>BULK WITHDRAW</v>
      </c>
      <c r="C1172" t="str">
        <v>27 items</v>
      </c>
      <c r="D1172" t="str">
        <v>BAG-B21.50X29PE (-12,000), BAG-A23X42PE-G (-3,000), BAG-A25.5X32PE (-12,000), BAG-A26X45HD (-6,000), BAG-B17.5X34PE (-3,000), LBL-CRPUA85G8_NS (-10), LBL-EHOPCF60G_NS (-5), LBL-EHOPCL24G_NS (-48), LBL-EHOPCUA90G8_NS (-5), LBL-OORL16G_NS (-10), LBL-OPCL24G_NS (-96), LBL-PFBM50G-H_NS (-5), LBL-PFBQBM50G_NS (-5), LBL-PFCBM50G_NS (-5), LBL-PFCLB21G_NS (-20), LBL-PFKLB21G_NS (-10), LBL-PFLB21G_NS (-10), LBL-RCBM50G_NS (-5), LBL-RCL24G_NS (-20), LBL-RCSL24G_NS (-80), LBL-RCSUA85G8_NS (-5), LBL-RCUA90G-8_NS (-10), LBL-SOPCF60GH_NS (-10), LBL-SOPCL24G_NS (-96), LBL-SOPCUA90G8_NS (-7), LBL-SSCL24G_NS (-10), LBL-CRPL24G-VL-ND (-96)</v>
      </c>
    </row>
    <row r="1173">
      <c r="A1173" t="str">
        <v>2026-01-20T20:27:44.265Z</v>
      </c>
      <c r="B1173" t="str">
        <v>BULK WITHDRAW</v>
      </c>
      <c r="C1173" t="str">
        <v>13 items</v>
      </c>
      <c r="D1173" t="str">
        <v>BAG-A22.50X39PE (-29,700), BAG-B22.50X34PE (-33,600), LBL-OFKLF22G_NS (-12), LBL-OORUA75G (-24), LBL-OPCUA90G-8_NS (-12), LBL-OPCXS5G-EXP_NS (-30), LBL-PFCBM50G_NS (-27), LBL-PFCLB21G_NS (-58), LBL-PFCUA90G-8_NS (-20), LBL-PSNKFB60G_NS (-36), LBL-RCBM50G_NS (-12), LBL-RCL24G_NS (-96), LBL-SSCL24G_NS (-36)</v>
      </c>
    </row>
    <row r="1174">
      <c r="A1174" t="str">
        <v>2026-01-20T20:25:18.882Z</v>
      </c>
      <c r="B1174" t="str">
        <v>BULK WITHDRAW</v>
      </c>
      <c r="C1174" t="str">
        <v>6 items</v>
      </c>
      <c r="D1174" t="str">
        <v>BAG-B21.50X29PE (-150,000), BAG-A25.5X32PE (-75,000), BAG-A26X45HD (-3,000), BAG-B18X30BPE (-15,000), LBL-EHOPCF60G_NS (-10), LBL-SOPCL24G_NS (-144)</v>
      </c>
    </row>
    <row r="1175">
      <c r="A1175" t="str">
        <v>2026-01-20T20:17:35.844Z</v>
      </c>
      <c r="B1175" t="str">
        <v>DELIVERY (BULK)</v>
      </c>
      <c r="C1175" t="str">
        <v>BAG-B23X30.32W/HO</v>
      </c>
      <c r="D1175" t="str">
        <v>+32,100 pcs</v>
      </c>
    </row>
    <row r="1176">
      <c r="A1176" t="str">
        <v>2026-01-20T20:17:35.836Z</v>
      </c>
      <c r="B1176" t="str">
        <v>DELIVERY (BULK)</v>
      </c>
      <c r="C1176" t="str">
        <v>BAG-B20.87X31.89FH</v>
      </c>
      <c r="D1176" t="str">
        <v>+22,200 pcs</v>
      </c>
    </row>
    <row r="1177">
      <c r="A1177" t="str">
        <v>2026-01-20T20:17:35.828Z</v>
      </c>
      <c r="B1177" t="str">
        <v>DELIVERY (BULK)</v>
      </c>
      <c r="C1177" t="str">
        <v>BAG-A22X30PEW/FLAP</v>
      </c>
      <c r="D1177" t="str">
        <v>+48,600 pcs</v>
      </c>
    </row>
    <row r="1178">
      <c r="A1178" t="str">
        <v>2026-01-20T20:17:35.821Z</v>
      </c>
      <c r="B1178" t="str">
        <v>DELIVERY (BULK)</v>
      </c>
      <c r="C1178" t="str">
        <v>BAG-A26X45HD</v>
      </c>
      <c r="D1178" t="str">
        <v>+18,000 pcs</v>
      </c>
    </row>
    <row r="1179">
      <c r="A1179" t="str">
        <v>2026-01-20T20:15:53.768Z</v>
      </c>
      <c r="B1179" t="str">
        <v>DELIVERY (BULK)</v>
      </c>
      <c r="C1179" t="str">
        <v>BAG-B12.50X14PP</v>
      </c>
      <c r="D1179" t="str">
        <v>+102,000 pcs</v>
      </c>
    </row>
    <row r="1180">
      <c r="A1180" t="str">
        <v>2026-01-20T20:15:53.760Z</v>
      </c>
      <c r="B1180" t="str">
        <v>DELIVERY (BULK)</v>
      </c>
      <c r="C1180" t="str">
        <v>BAG-B6X7FPP</v>
      </c>
      <c r="D1180" t="str">
        <v>+1,091,000 pcs</v>
      </c>
    </row>
    <row r="1181">
      <c r="A1181" t="str">
        <v>2026-01-20T20:15:53.753Z</v>
      </c>
      <c r="B1181" t="str">
        <v>DELIVERY (BULK)</v>
      </c>
      <c r="C1181" t="str">
        <v>BAG-B13X10.50PP</v>
      </c>
      <c r="D1181" t="str">
        <v>+209,000 pcs</v>
      </c>
    </row>
    <row r="1182">
      <c r="A1182" t="str">
        <v>2026-01-20T20:15:53.746Z</v>
      </c>
      <c r="B1182" t="str">
        <v>DELIVERY (BULK)</v>
      </c>
      <c r="C1182" t="str">
        <v>BAG-A23X42PE-G</v>
      </c>
      <c r="D1182" t="str">
        <v>+39,600 pcs</v>
      </c>
    </row>
    <row r="1183">
      <c r="A1183" t="str">
        <v>2026-01-20T20:15:53.739Z</v>
      </c>
      <c r="B1183" t="str">
        <v>DELIVERY (BULK)</v>
      </c>
      <c r="C1183" t="str">
        <v>BAG-A26X32.50PE</v>
      </c>
      <c r="D1183" t="str">
        <v>+74,400 pcs</v>
      </c>
    </row>
    <row r="1184">
      <c r="A1184" t="str">
        <v>2026-01-20T20:15:53.732Z</v>
      </c>
      <c r="B1184" t="str">
        <v>DELIVERY (BULK)</v>
      </c>
      <c r="C1184" t="str">
        <v>BAG-A20.5X45PE</v>
      </c>
      <c r="D1184" t="str">
        <v>+69,600 pcs</v>
      </c>
    </row>
    <row r="1185">
      <c r="A1185" t="str">
        <v>2026-01-20T20:15:53.725Z</v>
      </c>
      <c r="B1185" t="str">
        <v>DELIVERY (BULK)</v>
      </c>
      <c r="C1185" t="str">
        <v>BAG-B15.50X42PE</v>
      </c>
      <c r="D1185" t="str">
        <v>+88,200 pcs</v>
      </c>
    </row>
    <row r="1186">
      <c r="A1186" t="str">
        <v>2026-01-20T20:15:53.717Z</v>
      </c>
      <c r="B1186" t="str">
        <v>DELIVERY (BULK)</v>
      </c>
      <c r="C1186" t="str">
        <v>BAG-B21.50X29PE</v>
      </c>
      <c r="D1186" t="str">
        <v>+20,700 pcs</v>
      </c>
    </row>
    <row r="1187">
      <c r="A1187" t="str">
        <v>2026-01-20T20:09:16.046Z</v>
      </c>
      <c r="B1187" t="str">
        <v>DELIVERY (BULK)</v>
      </c>
      <c r="C1187" t="str">
        <v>LBL-RCSL24G_NS</v>
      </c>
      <c r="D1187" t="str">
        <v>+187 pcs</v>
      </c>
    </row>
    <row r="1188">
      <c r="A1188" t="str">
        <v>2026-01-20T20:07:46.765Z</v>
      </c>
      <c r="B1188" t="str">
        <v>DELIVERY (BULK)</v>
      </c>
      <c r="C1188" t="str">
        <v>LBL-RCSL24G_NS</v>
      </c>
      <c r="D1188" t="str">
        <v>+384 pcs</v>
      </c>
    </row>
    <row r="1189">
      <c r="A1189" t="str">
        <v>2026-01-20T20:07:46.757Z</v>
      </c>
      <c r="B1189" t="str">
        <v>DELIVERY (BULK)</v>
      </c>
      <c r="C1189" t="str">
        <v>LBL-OORUA75G</v>
      </c>
      <c r="D1189" t="str">
        <v>+130 pcs</v>
      </c>
    </row>
    <row r="1190">
      <c r="A1190" t="str">
        <v>2026-01-20T20:07:46.751Z</v>
      </c>
      <c r="B1190" t="str">
        <v>DELIVERY (BULK)</v>
      </c>
      <c r="C1190" t="str">
        <v>LBL-SOPCL24G_NS</v>
      </c>
      <c r="D1190" t="str">
        <v>+40 pcs</v>
      </c>
    </row>
    <row r="1191">
      <c r="A1191" t="str">
        <v>2026-01-20T20:07:46.743Z</v>
      </c>
      <c r="B1191" t="str">
        <v>DELIVERY (BULK)</v>
      </c>
      <c r="C1191" t="str">
        <v>LBL-RCL24G_NS</v>
      </c>
      <c r="D1191" t="str">
        <v>+52 pcs</v>
      </c>
    </row>
    <row r="1192">
      <c r="A1192" t="str">
        <v>2026-01-20T13:30:08.435Z</v>
      </c>
      <c r="B1192" t="str">
        <v>EDIT ITEM</v>
      </c>
      <c r="C1192" t="str">
        <v>LBL-SSCUA90G8_NS</v>
      </c>
      <c r="D1192" t="str">
        <v>Qty: "4×18" -&gt; "4×18"</v>
      </c>
    </row>
    <row r="1193">
      <c r="A1193" t="str">
        <v>2026-01-20T13:30:05.323Z</v>
      </c>
      <c r="B1193" t="str">
        <v>EDIT ITEM</v>
      </c>
      <c r="C1193" t="str">
        <v>LBL-SSCL24G_NS</v>
      </c>
      <c r="D1193" t="str">
        <v>Qty: "11×48 | 5" -&gt; "11×48 | 5"</v>
      </c>
    </row>
    <row r="1194">
      <c r="A1194" t="str">
        <v>2026-01-20T13:29:59.523Z</v>
      </c>
      <c r="B1194" t="str">
        <v>EDIT ITEM</v>
      </c>
      <c r="C1194" t="str">
        <v>LBL-SSCL24G_NS</v>
      </c>
      <c r="D1194" t="str">
        <v>Qty: "11×48 | 5" -&gt; "11×48 | 5"</v>
      </c>
    </row>
    <row r="1195">
      <c r="A1195" t="str">
        <v>2026-01-20T13:29:52.971Z</v>
      </c>
      <c r="B1195" t="str">
        <v>EDIT ITEM</v>
      </c>
      <c r="C1195" t="str">
        <v>LBL-SOPCUA90G8E_UNI</v>
      </c>
      <c r="D1195" t="str">
        <v>Qty: "5×18 | 13 l 8" -&gt; "5×18 | 13 | 8"</v>
      </c>
    </row>
    <row r="1196">
      <c r="A1196" t="str">
        <v>2026-01-20T13:29:45.019Z</v>
      </c>
      <c r="B1196" t="str">
        <v>EDIT ITEM</v>
      </c>
      <c r="C1196" t="str">
        <v>LBL-SOPCUA90G8_NS</v>
      </c>
      <c r="D1196" t="str">
        <v>Qty: "15×18 | 3" -&gt; "15×18 | 3"</v>
      </c>
    </row>
    <row r="1197">
      <c r="A1197" t="str">
        <v>2026-01-20T13:29:34.147Z</v>
      </c>
      <c r="B1197" t="str">
        <v>EDIT ITEM</v>
      </c>
      <c r="C1197" t="str">
        <v>LBL-SOPCL24G_NS</v>
      </c>
      <c r="D1197" t="str">
        <v>Qty: "10×48 | 50 | 3×48 | 15×48 | 22" -&gt; "10×48 | 50 | 3×48 | 15×48 | 22"</v>
      </c>
    </row>
    <row r="1198">
      <c r="A1198" t="str">
        <v>2026-01-20T13:29:18.563Z</v>
      </c>
      <c r="B1198" t="str">
        <v>EDIT ITEM</v>
      </c>
      <c r="C1198" t="str">
        <v>LBL-SOPCF60GH_NS</v>
      </c>
      <c r="D1198" t="str">
        <v>Qty: "8×36 | 16" -&gt; "8×36 | 16"</v>
      </c>
    </row>
    <row r="1199">
      <c r="A1199" t="str">
        <v>2026-01-20T13:29:14.627Z</v>
      </c>
      <c r="B1199" t="str">
        <v>EDIT ITEM</v>
      </c>
      <c r="C1199" t="str">
        <v>LBL-SOPCF60GE_UNI</v>
      </c>
      <c r="D1199" t="str">
        <v>Qty: "35" -&gt; "35"</v>
      </c>
    </row>
    <row r="1200">
      <c r="A1200" t="str">
        <v>2026-01-20T13:29:11.259Z</v>
      </c>
      <c r="B1200" t="str">
        <v>EDIT ITEM</v>
      </c>
      <c r="C1200" t="str">
        <v>LBL-RCUA90G8EX-UNI</v>
      </c>
      <c r="D1200" t="str">
        <v>Qty: "18 | 6" -&gt; "18 | 6"</v>
      </c>
    </row>
    <row r="1201">
      <c r="A1201" t="str">
        <v>2026-01-20T13:29:05.739Z</v>
      </c>
      <c r="B1201" t="str">
        <v>EDIT ITEM</v>
      </c>
      <c r="C1201" t="str">
        <v>LBL-RCUA90G8EX-UNI</v>
      </c>
      <c r="D1201" t="str">
        <v>Qty: "18 | 6" -&gt; "18 | 6"</v>
      </c>
    </row>
    <row r="1202">
      <c r="A1202" t="str">
        <v>2026-01-20T13:28:59.669Z</v>
      </c>
      <c r="B1202" t="str">
        <v>EDIT ITEM</v>
      </c>
      <c r="C1202" t="str">
        <v>LBL-RCUA90G-8_NS</v>
      </c>
      <c r="D1202" t="str">
        <v>Qty: "11×18 | 5 | 18" -&gt; "11×18 | 5 | 18"</v>
      </c>
    </row>
    <row r="1203">
      <c r="A1203" t="str">
        <v>2026-01-20T13:28:46.171Z</v>
      </c>
      <c r="B1203" t="str">
        <v>EDIT ITEM</v>
      </c>
      <c r="C1203" t="str">
        <v>LBL-RCL24G_NS</v>
      </c>
      <c r="D1203" t="str">
        <v>Qty: "5×48 | 31" -&gt; "5×48 | 31"</v>
      </c>
    </row>
    <row r="1204">
      <c r="A1204" t="str">
        <v>2026-01-20T13:28:42.395Z</v>
      </c>
      <c r="B1204" t="str">
        <v>EDIT ITEM</v>
      </c>
      <c r="C1204" t="str">
        <v>LBL-PTCCHJA85G_NS</v>
      </c>
      <c r="D1204" t="str">
        <v>Qty: "31" -&gt; "31"</v>
      </c>
    </row>
    <row r="1205">
      <c r="A1205" t="str">
        <v>2026-01-20T13:28:38.795Z</v>
      </c>
      <c r="B1205" t="str">
        <v>EDIT ITEM</v>
      </c>
      <c r="C1205" t="str">
        <v>LBL-PSNKLS28G_NS</v>
      </c>
      <c r="D1205" t="str">
        <v>Qty: "3×48" -&gt; "3×48"</v>
      </c>
    </row>
    <row r="1206">
      <c r="A1206" t="str">
        <v>2026-01-20T13:28:35.795Z</v>
      </c>
      <c r="B1206" t="str">
        <v>EDIT ITEM</v>
      </c>
      <c r="C1206" t="str">
        <v>LBL-PFKLB21G_NS</v>
      </c>
      <c r="D1206" t="str">
        <v>Qty: "11×48 | 13" -&gt; "11×48 | 13"</v>
      </c>
    </row>
    <row r="1207">
      <c r="A1207" t="str">
        <v>2026-01-20T13:28:32.123Z</v>
      </c>
      <c r="B1207" t="str">
        <v>EDIT ITEM</v>
      </c>
      <c r="C1207" t="str">
        <v>LBL-PFKBM50EXP_NS</v>
      </c>
      <c r="D1207" t="str">
        <v>Qty: "2×27 | 13" -&gt; "2×27 | 13"</v>
      </c>
    </row>
    <row r="1208">
      <c r="A1208" t="str">
        <v>2026-01-20T13:28:25.883Z</v>
      </c>
      <c r="B1208" t="str">
        <v>EDIT ITEM</v>
      </c>
      <c r="C1208" t="str">
        <v>LBL-PFCLB21G_NS</v>
      </c>
      <c r="D1208" t="str">
        <v>Qty: "15×48 | 37" -&gt; "15×48 | 37"</v>
      </c>
    </row>
    <row r="1209">
      <c r="A1209" t="str">
        <v>2026-01-20T13:28:21.723Z</v>
      </c>
      <c r="B1209" t="str">
        <v>EDIT ITEM</v>
      </c>
      <c r="C1209" t="str">
        <v>LBL-PFCBM50G_NS</v>
      </c>
      <c r="D1209" t="str">
        <v>Qty: "7×27" -&gt; "7×27"</v>
      </c>
    </row>
    <row r="1210">
      <c r="A1210" t="str">
        <v>2026-01-20T13:28:18.123Z</v>
      </c>
      <c r="B1210" t="str">
        <v>EDIT ITEM</v>
      </c>
      <c r="C1210" t="str">
        <v>LBL-PFBQBM50G_NS</v>
      </c>
      <c r="D1210" t="str">
        <v>Qty: "27 | 26" -&gt; "27 | 26"</v>
      </c>
    </row>
    <row r="1211">
      <c r="A1211" t="str">
        <v>2026-01-20T13:28:10.867Z</v>
      </c>
      <c r="B1211" t="str">
        <v>EDIT ITEM</v>
      </c>
      <c r="C1211" t="str">
        <v>LBL-OPCL24G_NS</v>
      </c>
      <c r="D1211" t="str">
        <v>Qty: "18×48 | 1 | 5×48 | 53" -&gt; "18×48 | 1 | 5×48 | 53"</v>
      </c>
    </row>
    <row r="1212">
      <c r="A1212" t="str">
        <v>2026-01-20T13:27:58.187Z</v>
      </c>
      <c r="B1212" t="str">
        <v>EDIT ITEM</v>
      </c>
      <c r="C1212" t="str">
        <v>LBL-OFKLF22G_NS</v>
      </c>
      <c r="D1212" t="str">
        <v>Qty: "12" -&gt; "12"</v>
      </c>
    </row>
    <row r="1213">
      <c r="A1213" t="str">
        <v>2026-01-20T13:27:54.139Z</v>
      </c>
      <c r="B1213" t="str">
        <v>EDIT ITEM</v>
      </c>
      <c r="C1213" t="str">
        <v>LBL-OFKFF55G</v>
      </c>
      <c r="D1213" t="str">
        <v>Qty: "4×27 | 9 | 27 | 12 | 12" -&gt; "4×27 | 9 | 27 | 12 | 12"</v>
      </c>
    </row>
    <row r="1214">
      <c r="A1214" t="str">
        <v>2026-01-20T13:27:39.843Z</v>
      </c>
      <c r="B1214" t="str">
        <v>EDIT ITEM</v>
      </c>
      <c r="C1214" t="str">
        <v>LBL-MIGSWCL28G_NS</v>
      </c>
      <c r="D1214" t="str">
        <v>Qty: "2×48" -&gt; "2×48"</v>
      </c>
    </row>
    <row r="1215">
      <c r="A1215" t="str">
        <v>2026-01-20T13:27:35.547Z</v>
      </c>
      <c r="B1215" t="str">
        <v>EDIT ITEM</v>
      </c>
      <c r="C1215" t="str">
        <v>LBL-MIGCHL28G_NS</v>
      </c>
      <c r="D1215" t="str">
        <v>Qty: "48 | 17" -&gt; "48 | 17"</v>
      </c>
    </row>
    <row r="1216">
      <c r="A1216" t="str">
        <v>2026-01-20T13:27:32.219Z</v>
      </c>
      <c r="B1216" t="str">
        <v>EDIT ITEM</v>
      </c>
      <c r="C1216" t="str">
        <v>LBL-KYFL20G_NS</v>
      </c>
      <c r="D1216" t="str">
        <v>Qty: "48 | 22" -&gt; "48 | 22"</v>
      </c>
    </row>
    <row r="1217">
      <c r="A1217" t="str">
        <v>2026-01-20T13:27:27.851Z</v>
      </c>
      <c r="B1217" t="str">
        <v>EDIT ITEM</v>
      </c>
      <c r="C1217" t="str">
        <v>LBL-KYFF45GH_NS</v>
      </c>
      <c r="D1217" t="str">
        <v>Qty: "3×36 | 21" -&gt; "3×36 | 21"</v>
      </c>
    </row>
    <row r="1218">
      <c r="A1218" t="str">
        <v>2026-01-20T13:27:23.467Z</v>
      </c>
      <c r="B1218" t="str">
        <v>EDIT ITEM</v>
      </c>
      <c r="C1218" t="str">
        <v>LBL-KYFF45GEX_NS</v>
      </c>
      <c r="D1218" t="str">
        <v>Qty: "36 | 37" -&gt; "36 | 37"</v>
      </c>
    </row>
    <row r="1219">
      <c r="A1219" t="str">
        <v>2026-01-20T13:27:17.810Z</v>
      </c>
      <c r="B1219" t="str">
        <v>EDIT ITEM</v>
      </c>
      <c r="C1219" t="str">
        <v>LBL-EHOPCF60G_NS</v>
      </c>
      <c r="D1219" t="str">
        <v>Qty: "7×36 | 6 | 15" -&gt; "7×36 | 6 | 15"</v>
      </c>
    </row>
    <row r="1220">
      <c r="A1220" t="str">
        <v>2026-01-20T13:26:59.403Z</v>
      </c>
      <c r="B1220" t="str">
        <v>EDIT ITEM</v>
      </c>
      <c r="C1220" t="str">
        <v>LBL-COCL22G_NS</v>
      </c>
      <c r="D1220" t="str">
        <v>Qty: "12" -&gt; "12"</v>
      </c>
    </row>
    <row r="1221">
      <c r="A1221" t="str">
        <v>2026-01-20T13:26:54.739Z</v>
      </c>
      <c r="B1221" t="str">
        <v>EDIT ITEM</v>
      </c>
      <c r="C1221" t="str">
        <v>LBL-4XCHL24G_NS</v>
      </c>
      <c r="D1221" t="str">
        <v>Qty: "48 | 11" -&gt; "48 | 11"</v>
      </c>
    </row>
    <row r="1222">
      <c r="A1222" t="str">
        <v>2026-01-20T13:26:40.323Z</v>
      </c>
      <c r="B1222" t="str">
        <v>EDIT ITEM</v>
      </c>
      <c r="C1222" t="str">
        <v>LBL-4XCH-UA85G</v>
      </c>
      <c r="D1222" t="str">
        <v>Qty: "4×18 | 18 | 10" -&gt; "4×18 | 18 | 10"</v>
      </c>
    </row>
    <row r="1223">
      <c r="A1223" t="str">
        <v>2026-01-20T13:26:31.866Z</v>
      </c>
      <c r="B1223" t="str">
        <v>EDIT ITEM</v>
      </c>
      <c r="C1223" t="str">
        <v>BUNDLES-42X60</v>
      </c>
      <c r="D1223" t="str">
        <v>Qty: "4350" -&gt; "4350"</v>
      </c>
    </row>
    <row r="1224">
      <c r="A1224" t="str">
        <v>2026-01-20T13:26:27.427Z</v>
      </c>
      <c r="B1224" t="str">
        <v>EDIT ITEM</v>
      </c>
      <c r="C1224" t="str">
        <v>BAG-B23X30.32W/HO</v>
      </c>
      <c r="D1224" t="str">
        <v>Qty: "24000 | 2×24000 | 5100 | 8700 | 5400 | 10800" -&gt; "24000 | 2×24000 | 5100 | 8700 | 5400 | 10800"</v>
      </c>
    </row>
    <row r="1225">
      <c r="A1225" t="str">
        <v>2026-01-20T13:26:07.515Z</v>
      </c>
      <c r="B1225" t="str">
        <v>EDIT ITEM</v>
      </c>
      <c r="C1225" t="str">
        <v>BAG-B15.50X42PE</v>
      </c>
      <c r="D1225" t="str">
        <v>Qty: "21900" -&gt; "21900"</v>
      </c>
    </row>
    <row r="1226">
      <c r="A1226" t="str">
        <v>2026-01-20T13:26:02.259Z</v>
      </c>
      <c r="B1226" t="str">
        <v>EDIT ITEM</v>
      </c>
      <c r="C1226" t="str">
        <v>BAG-B15.50X23PE</v>
      </c>
      <c r="D1226" t="str">
        <v>Qty: "6×36000 | 2100" -&gt; "6×36000 | 2100"</v>
      </c>
    </row>
    <row r="1227">
      <c r="A1227" t="str">
        <v>2026-01-20T13:25:56.498Z</v>
      </c>
      <c r="B1227" t="str">
        <v>EDIT ITEM</v>
      </c>
      <c r="C1227" t="str">
        <v>BAG-B13.50X19</v>
      </c>
      <c r="D1227" t="str">
        <v>Qty: "66000 | 48000 | 42300" -&gt; "66000 | 48000 | 42300"</v>
      </c>
    </row>
    <row r="1228">
      <c r="A1228" t="str">
        <v>2026-01-20T13:25:49.979Z</v>
      </c>
      <c r="B1228" t="str">
        <v>EDIT ITEM</v>
      </c>
      <c r="C1228" t="str">
        <v>BAG-A26X30HD</v>
      </c>
      <c r="D1228" t="str">
        <v>Qty: "2×24000 | 3981" -&gt; "2×24000 | 3981"</v>
      </c>
    </row>
    <row r="1229">
      <c r="A1229" t="str">
        <v>2026-01-20T13:25:45.547Z</v>
      </c>
      <c r="B1229" t="str">
        <v>EDIT ITEM</v>
      </c>
      <c r="C1229" t="str">
        <v>BAG-A22X26PE</v>
      </c>
      <c r="D1229" t="str">
        <v>Qty: "2×24000 | 6200" -&gt; "2×24000 | 6200"</v>
      </c>
    </row>
    <row r="1230">
      <c r="A1230" t="str">
        <v>2026-01-20T13:25:38.315Z</v>
      </c>
      <c r="B1230" t="str">
        <v>EDIT ITEM</v>
      </c>
      <c r="C1230" t="str">
        <v>BAG-A20.5X45PE</v>
      </c>
      <c r="D1230" t="str">
        <v>Qty: "2×24000 | 9900" -&gt; "2×24000 | 9900"</v>
      </c>
    </row>
    <row r="1231">
      <c r="A1231" t="str">
        <v>2026-01-20T13:25:18.930Z</v>
      </c>
      <c r="B1231" t="str">
        <v>EDIT ITEM</v>
      </c>
      <c r="C1231" t="str">
        <v>LBL-RCSUA85G8_NS</v>
      </c>
      <c r="D1231" t="str">
        <v>Qty: "13 | 20×18" -&gt; "13 | 20×18"</v>
      </c>
    </row>
    <row r="1232">
      <c r="A1232" t="str">
        <v>2026-01-20T13:25:09.340Z</v>
      </c>
      <c r="B1232" t="str">
        <v>EDIT ITEM</v>
      </c>
      <c r="C1232" t="str">
        <v>LBL-RCSL24G_NS</v>
      </c>
      <c r="D1232" t="str">
        <v>Qty: "18×48 | 12" -&gt; "18×48 | 12"</v>
      </c>
    </row>
    <row r="1233">
      <c r="A1233" t="str">
        <v>2026-01-20T13:24:57.490Z</v>
      </c>
      <c r="B1233" t="str">
        <v>EDIT ITEM</v>
      </c>
      <c r="C1233" t="str">
        <v>LBL-RCBM50G_NS</v>
      </c>
      <c r="D1233" t="str">
        <v>Qty: "5×27 | 26 | 4×27 | 28" -&gt; "5×27 | 26 | 4×27 | 28"</v>
      </c>
    </row>
    <row r="1234">
      <c r="A1234" t="str">
        <v>2026-01-20T13:24:06.442Z</v>
      </c>
      <c r="B1234" t="str">
        <v>EDIT ITEM</v>
      </c>
      <c r="C1234" t="str">
        <v>BAG-A22.50X39PE</v>
      </c>
      <c r="D1234" t="str">
        <v>Qty: "3×24000 | 5700 | 24600 | 5800" -&gt; "4×24000 | 5700 | 24600"</v>
      </c>
    </row>
    <row r="1235">
      <c r="A1235" t="str">
        <v>2026-01-20T13:23:54.572Z</v>
      </c>
      <c r="B1235" t="str">
        <v>BULK WITHDRAW</v>
      </c>
      <c r="C1235" t="str">
        <v>1 items</v>
      </c>
      <c r="D1235" t="str">
        <v>BAG-A22.50X39PE (-24,000)</v>
      </c>
    </row>
    <row r="1236">
      <c r="A1236" t="str">
        <v>2026-01-20T13:23:45.754Z</v>
      </c>
      <c r="B1236" t="str">
        <v>EDIT ITEM</v>
      </c>
      <c r="C1236" t="str">
        <v>BAG-A22.50X39PE</v>
      </c>
      <c r="D1236" t="str">
        <v>Qty: "4×24000 | 5700 | 24600 L 5800" -&gt; "4×24000 | 5700 | 24600 | 5800"</v>
      </c>
    </row>
    <row r="1237">
      <c r="A1237" t="str">
        <v>2026-01-20T13:23:09.795Z</v>
      </c>
      <c r="B1237" t="str">
        <v>EDIT ITEM</v>
      </c>
      <c r="C1237" t="str">
        <v>BAG-A22.50X39PE</v>
      </c>
      <c r="D1237" t="str">
        <v>Qty: "4×24000 | 5700 | 24600" -&gt; "4×24000 | 5700 | 24600 L 5800"</v>
      </c>
    </row>
    <row r="1238">
      <c r="A1238" t="str">
        <v>2026-01-20T13:19:28.003Z</v>
      </c>
      <c r="B1238" t="str">
        <v>PRINT</v>
      </c>
      <c r="C1238" t="str">
        <v>-</v>
      </c>
      <c r="D1238" t="str">
        <v>Inventory count sheet printed.</v>
      </c>
    </row>
    <row r="1239">
      <c r="A1239" t="str">
        <v>2026-01-20T13:19:23.186Z</v>
      </c>
      <c r="B1239" t="str">
        <v>EDIT ITEM</v>
      </c>
      <c r="C1239" t="str">
        <v>BAG-B18X30BPE</v>
      </c>
      <c r="D1239" t="str">
        <v>Qty: "14×36000 | 29100 | 12000 | 36000 | 29400 | 3×36000 | 18000 | 10000 | 10000 | 10000 | 10000 L 1000 L10000 L 10000" -&gt; "14×36000 | 29100 | 12000 | 36000 | 29400 | 3×36000 | 18000 "</v>
      </c>
    </row>
    <row r="1240">
      <c r="A1240" t="str">
        <v>2026-01-20T13:18:37.125Z</v>
      </c>
      <c r="B1240" t="str">
        <v>PRINT</v>
      </c>
      <c r="C1240" t="str">
        <v>-</v>
      </c>
      <c r="D1240" t="str">
        <v>Inventory count sheet printed.</v>
      </c>
    </row>
    <row r="1241">
      <c r="A1241" t="str">
        <v>2026-01-20T13:17:52.226Z</v>
      </c>
      <c r="B1241" t="str">
        <v>PRINT</v>
      </c>
      <c r="C1241" t="str">
        <v>-</v>
      </c>
      <c r="D1241" t="str">
        <v>Inventory count sheet printed.</v>
      </c>
    </row>
    <row r="1242">
      <c r="A1242" t="str">
        <v>2026-01-20T13:17:28.355Z</v>
      </c>
      <c r="B1242" t="str">
        <v>PRINT</v>
      </c>
      <c r="C1242" t="str">
        <v>-</v>
      </c>
      <c r="D1242" t="str">
        <v>Inventory count sheet printed.</v>
      </c>
    </row>
    <row r="1243">
      <c r="A1243" t="str">
        <v>2026-01-20T13:17:23.034Z</v>
      </c>
      <c r="B1243" t="str">
        <v>EDIT ITEM</v>
      </c>
      <c r="C1243" t="str">
        <v>BAG-B18X30BPE</v>
      </c>
      <c r="D1243" t="str">
        <v>Qty: "14×36000 | 29100 | 12000 | 36000 | 29400 | 3×36000 | 18000 l 10000 l 10000 l 10000 l10000" -&gt; "14×36000 | 29100 | 12000 | 36000 | 29400 | 3×36000 | 18000 | 10000 | 10000 | 10000 | 10000 L 1000 L10000 L 10000"</v>
      </c>
    </row>
    <row r="1244">
      <c r="A1244" t="str">
        <v>2026-01-20T13:16:58.666Z</v>
      </c>
      <c r="B1244" t="str">
        <v>EDIT ITEM</v>
      </c>
      <c r="C1244" t="str">
        <v>BAG-B18X30BPE</v>
      </c>
      <c r="D1244" t="str">
        <v>Qty: "14×36000 | 29100 | 12000 | 36000 | 29400 | 3×36000 | 18000" -&gt; "14×36000 | 29100 | 12000 | 36000 | 29400 | 3×36000 | 18000 l 10000 l 10000 l 10000 l10000"</v>
      </c>
    </row>
    <row r="1245">
      <c r="A1245" t="str">
        <v>2026-01-20T13:15:54.480Z</v>
      </c>
      <c r="B1245" t="str">
        <v>PRINT</v>
      </c>
      <c r="C1245" t="str">
        <v>-</v>
      </c>
      <c r="D1245" t="str">
        <v>Inventory count sheet printed.</v>
      </c>
    </row>
    <row r="1246">
      <c r="A1246" t="str">
        <v>2026-01-20T13:15:32.519Z</v>
      </c>
      <c r="B1246" t="str">
        <v>CLEAR HISTORY</v>
      </c>
      <c r="C1246" t="str">
        <v>-</v>
      </c>
      <c r="D1246" t="str">
        <v>Transaction history cleared.</v>
      </c>
    </row>
  </sheetData>
  <ignoredErrors>
    <ignoredError numberStoredAsText="1" sqref="A1:D124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30"/>
  <sheetViews>
    <sheetView workbookViewId="0"/>
  </sheetViews>
  <sheetData>
    <row r="1">
      <c r="A1" t="str">
        <v>Material Code</v>
      </c>
      <c r="B1" t="str">
        <v>Pallet Capacity</v>
      </c>
    </row>
    <row r="2">
      <c r="A2" t="str">
        <v>0</v>
      </c>
      <c r="B2">
        <v>120000</v>
      </c>
    </row>
    <row r="3">
      <c r="A3" t="str">
        <v>1</v>
      </c>
      <c r="B3">
        <v>80000</v>
      </c>
    </row>
    <row r="4">
      <c r="A4" t="str">
        <v>2</v>
      </c>
      <c r="B4">
        <v>36000</v>
      </c>
    </row>
    <row r="5">
      <c r="A5" t="str">
        <v>3</v>
      </c>
      <c r="B5">
        <v>30000</v>
      </c>
    </row>
    <row r="6">
      <c r="A6" t="str">
        <v>4</v>
      </c>
      <c r="B6">
        <v>24000</v>
      </c>
    </row>
    <row r="7">
      <c r="A7" t="str">
        <v>5</v>
      </c>
      <c r="B7">
        <v>19200</v>
      </c>
    </row>
    <row r="8">
      <c r="A8" t="str">
        <v>6</v>
      </c>
      <c r="B8">
        <v>18000</v>
      </c>
    </row>
    <row r="9">
      <c r="A9" t="str">
        <v>7</v>
      </c>
      <c r="B9">
        <v>6400</v>
      </c>
    </row>
    <row r="10">
      <c r="A10" t="str">
        <v>8</v>
      </c>
      <c r="B10">
        <v>1200</v>
      </c>
    </row>
    <row r="11">
      <c r="A11" t="str">
        <v>9</v>
      </c>
      <c r="B11">
        <v>1000</v>
      </c>
    </row>
    <row r="12">
      <c r="A12" t="str">
        <v>10</v>
      </c>
      <c r="B12">
        <v>192</v>
      </c>
    </row>
    <row r="13">
      <c r="A13" t="str">
        <v>11</v>
      </c>
      <c r="B13">
        <v>48</v>
      </c>
    </row>
    <row r="14">
      <c r="A14" t="str">
        <v>12</v>
      </c>
      <c r="B14">
        <v>45</v>
      </c>
    </row>
    <row r="15">
      <c r="A15" t="str">
        <v>13</v>
      </c>
      <c r="B15">
        <v>36</v>
      </c>
    </row>
    <row r="16">
      <c r="A16" t="str">
        <v>14</v>
      </c>
      <c r="B16">
        <v>27</v>
      </c>
    </row>
    <row r="17">
      <c r="A17" t="str">
        <v>15</v>
      </c>
      <c r="B17">
        <v>18</v>
      </c>
    </row>
    <row r="18">
      <c r="A18" t="str">
        <v>LBL-SOPCL24G_NS</v>
      </c>
      <c r="B18">
        <v>48</v>
      </c>
    </row>
    <row r="19">
      <c r="A19" t="str">
        <v>LBL-PFCLB21G_NS</v>
      </c>
      <c r="B19">
        <v>48</v>
      </c>
    </row>
    <row r="20">
      <c r="A20" t="str">
        <v>LBL-SSCL24G_NS</v>
      </c>
      <c r="B20">
        <v>48</v>
      </c>
    </row>
    <row r="21">
      <c r="A21" t="str">
        <v>BAG-A26X45HD</v>
      </c>
      <c r="B21">
        <v>19200</v>
      </c>
    </row>
    <row r="22">
      <c r="A22" t="str">
        <v>BAG-B20.87X31.89FH</v>
      </c>
      <c r="B22">
        <v>24000</v>
      </c>
    </row>
    <row r="23">
      <c r="A23" t="str">
        <v>BAG-B21.50X29PE</v>
      </c>
      <c r="B23">
        <v>24000</v>
      </c>
    </row>
    <row r="24">
      <c r="A24" t="str">
        <v>BAG-B23X29.53W/HO</v>
      </c>
      <c r="B24">
        <v>24000</v>
      </c>
    </row>
    <row r="25">
      <c r="A25" t="str">
        <v>LBL-RCL24G_NS</v>
      </c>
      <c r="B25">
        <v>48</v>
      </c>
    </row>
    <row r="26">
      <c r="A26" t="str">
        <v>LBL-RCSL24G_NS</v>
      </c>
      <c r="B26">
        <v>48</v>
      </c>
    </row>
    <row r="27">
      <c r="A27" t="str">
        <v>LBL-RCUA90G-8_NS</v>
      </c>
      <c r="B27">
        <v>18</v>
      </c>
    </row>
    <row r="28">
      <c r="A28" t="str">
        <v>BAG-A22X30PEW/FLAP</v>
      </c>
      <c r="B28">
        <v>24000</v>
      </c>
    </row>
    <row r="29">
      <c r="A29" t="str">
        <v>LBL-SSCUA90G8_NS</v>
      </c>
      <c r="B29">
        <v>18</v>
      </c>
    </row>
    <row r="30">
      <c r="A30" t="str">
        <v>LBL-OFKBA80G-800</v>
      </c>
      <c r="B30">
        <v>18</v>
      </c>
    </row>
  </sheetData>
  <ignoredErrors>
    <ignoredError numberStoredAsText="1" sqref="A1:B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Inventory_Backup</vt:lpstr>
      <vt:lpstr>Transaction_History</vt:lpstr>
      <vt:lpstr>Pallet_Capacities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